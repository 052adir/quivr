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מרדכי מלכה\Downloads\"/>
    </mc:Choice>
  </mc:AlternateContent>
  <xr:revisionPtr revIDLastSave="0" documentId="13_ncr:1_{4CFC0122-681D-4502-90EF-1BF5B9491A41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Dashboard" sheetId="1" r:id="rId1"/>
    <sheet name="יומן עסקי" sheetId="2" r:id="rId2"/>
    <sheet name="לוח שנה עסקי" sheetId="3" r:id="rId3"/>
    <sheet name="משימות" sheetId="4" r:id="rId4"/>
    <sheet name="לקוחות פוטנציאליים" sheetId="5" r:id="rId5"/>
    <sheet name="תזרים" sheetId="6" r:id="rId6"/>
    <sheet name="גרפים" sheetId="7" r:id="rId7"/>
  </sheets>
  <calcPr calcId="191029"/>
</workbook>
</file>

<file path=xl/calcChain.xml><?xml version="1.0" encoding="utf-8"?>
<calcChain xmlns="http://schemas.openxmlformats.org/spreadsheetml/2006/main">
  <c r="B32" i="7" l="1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B12" i="6"/>
  <c r="B8" i="6"/>
  <c r="B7" i="6"/>
  <c r="T32" i="2"/>
  <c r="S32" i="2"/>
  <c r="P32" i="2"/>
  <c r="Q32" i="2" s="1"/>
  <c r="G32" i="2"/>
  <c r="T31" i="2"/>
  <c r="S31" i="2"/>
  <c r="P31" i="2"/>
  <c r="Q31" i="2" s="1"/>
  <c r="G31" i="2"/>
  <c r="T30" i="2"/>
  <c r="S30" i="2"/>
  <c r="P30" i="2"/>
  <c r="Q30" i="2" s="1"/>
  <c r="G30" i="2"/>
  <c r="T29" i="2"/>
  <c r="S29" i="2"/>
  <c r="P29" i="2"/>
  <c r="Q29" i="2" s="1"/>
  <c r="G29" i="2"/>
  <c r="T28" i="2"/>
  <c r="S28" i="2"/>
  <c r="P28" i="2"/>
  <c r="Q28" i="2" s="1"/>
  <c r="G28" i="2"/>
  <c r="T27" i="2"/>
  <c r="S27" i="2"/>
  <c r="P27" i="2"/>
  <c r="Q27" i="2" s="1"/>
  <c r="G27" i="2"/>
  <c r="T26" i="2"/>
  <c r="S26" i="2"/>
  <c r="Q26" i="2"/>
  <c r="P26" i="2"/>
  <c r="G26" i="2"/>
  <c r="T25" i="2"/>
  <c r="S25" i="2"/>
  <c r="P25" i="2"/>
  <c r="Q25" i="2" s="1"/>
  <c r="G25" i="2"/>
  <c r="T24" i="2"/>
  <c r="S24" i="2"/>
  <c r="Q24" i="2"/>
  <c r="P24" i="2"/>
  <c r="G24" i="2"/>
  <c r="T23" i="2"/>
  <c r="S23" i="2"/>
  <c r="Q23" i="2"/>
  <c r="P23" i="2"/>
  <c r="G23" i="2"/>
  <c r="T22" i="2"/>
  <c r="S22" i="2"/>
  <c r="P22" i="2"/>
  <c r="Q22" i="2" s="1"/>
  <c r="G22" i="2"/>
  <c r="T21" i="2"/>
  <c r="S21" i="2"/>
  <c r="Q21" i="2"/>
  <c r="P21" i="2"/>
  <c r="G21" i="2"/>
  <c r="T20" i="2"/>
  <c r="S20" i="2"/>
  <c r="P20" i="2"/>
  <c r="Q20" i="2" s="1"/>
  <c r="G20" i="2"/>
  <c r="T19" i="2"/>
  <c r="S19" i="2"/>
  <c r="P19" i="2"/>
  <c r="Q19" i="2" s="1"/>
  <c r="G19" i="2"/>
  <c r="T18" i="2"/>
  <c r="S18" i="2"/>
  <c r="P18" i="2"/>
  <c r="Q18" i="2" s="1"/>
  <c r="G18" i="2"/>
  <c r="T17" i="2"/>
  <c r="S17" i="2"/>
  <c r="P17" i="2"/>
  <c r="Q17" i="2" s="1"/>
  <c r="G17" i="2"/>
  <c r="T16" i="2"/>
  <c r="S16" i="2"/>
  <c r="P16" i="2"/>
  <c r="Q16" i="2" s="1"/>
  <c r="G16" i="2"/>
  <c r="T15" i="2"/>
  <c r="S15" i="2"/>
  <c r="P15" i="2"/>
  <c r="Q15" i="2" s="1"/>
  <c r="G15" i="2"/>
  <c r="T14" i="2"/>
  <c r="S14" i="2"/>
  <c r="Q14" i="2"/>
  <c r="P14" i="2"/>
  <c r="G14" i="2"/>
  <c r="T13" i="2"/>
  <c r="S13" i="2"/>
  <c r="Q13" i="2"/>
  <c r="P13" i="2"/>
  <c r="G13" i="2"/>
  <c r="T12" i="2"/>
  <c r="S12" i="2"/>
  <c r="Q12" i="2"/>
  <c r="P12" i="2"/>
  <c r="G12" i="2"/>
  <c r="T11" i="2"/>
  <c r="S11" i="2"/>
  <c r="Q11" i="2"/>
  <c r="P11" i="2"/>
  <c r="G11" i="2"/>
  <c r="T10" i="2"/>
  <c r="S10" i="2"/>
  <c r="P10" i="2"/>
  <c r="Q10" i="2" s="1"/>
  <c r="G10" i="2"/>
  <c r="T9" i="2"/>
  <c r="S9" i="2"/>
  <c r="Q9" i="2"/>
  <c r="P9" i="2"/>
  <c r="G9" i="2"/>
  <c r="T8" i="2"/>
  <c r="S8" i="2"/>
  <c r="P8" i="2"/>
  <c r="Q8" i="2" s="1"/>
  <c r="G8" i="2"/>
  <c r="T7" i="2"/>
  <c r="S7" i="2"/>
  <c r="P7" i="2"/>
  <c r="Q7" i="2" s="1"/>
  <c r="G7" i="2"/>
  <c r="T6" i="2"/>
  <c r="S6" i="2"/>
  <c r="P6" i="2"/>
  <c r="Q6" i="2" s="1"/>
  <c r="G6" i="2"/>
  <c r="T5" i="2"/>
  <c r="S5" i="2"/>
  <c r="P5" i="2"/>
  <c r="Q5" i="2" s="1"/>
  <c r="G5" i="2"/>
  <c r="T4" i="2"/>
  <c r="S4" i="2"/>
  <c r="P4" i="2"/>
  <c r="Q4" i="2" s="1"/>
  <c r="G4" i="2"/>
  <c r="T3" i="2"/>
  <c r="S3" i="2"/>
  <c r="P3" i="2"/>
  <c r="B11" i="6" s="1"/>
  <c r="B13" i="6" s="1"/>
  <c r="G3" i="2"/>
  <c r="T2" i="2"/>
  <c r="S2" i="2"/>
  <c r="B9" i="6" s="1"/>
  <c r="Q2" i="2"/>
  <c r="P2" i="2"/>
  <c r="C24" i="1" s="1"/>
  <c r="G2" i="2"/>
  <c r="C26" i="1"/>
  <c r="C23" i="1"/>
  <c r="C22" i="1"/>
  <c r="C21" i="1"/>
  <c r="C20" i="1"/>
  <c r="C19" i="1"/>
  <c r="F18" i="1"/>
  <c r="F17" i="1"/>
  <c r="F16" i="1"/>
  <c r="F15" i="1"/>
  <c r="F14" i="1"/>
  <c r="C13" i="1"/>
  <c r="C12" i="1"/>
  <c r="C11" i="1"/>
  <c r="F10" i="1"/>
  <c r="F9" i="1"/>
  <c r="C9" i="1"/>
  <c r="C10" i="1" s="1"/>
  <c r="F8" i="1"/>
  <c r="F7" i="1"/>
  <c r="F6" i="1"/>
  <c r="C6" i="1"/>
  <c r="F5" i="1"/>
  <c r="F4" i="1"/>
  <c r="C4" i="1"/>
  <c r="C5" i="1" s="1"/>
  <c r="C8" i="1" l="1"/>
  <c r="B10" i="6"/>
  <c r="C25" i="1"/>
  <c r="Q3" i="2"/>
  <c r="C7" i="1"/>
  <c r="C27" i="1"/>
</calcChain>
</file>

<file path=xl/sharedStrings.xml><?xml version="1.0" encoding="utf-8"?>
<sst xmlns="http://schemas.openxmlformats.org/spreadsheetml/2006/main" count="2239" uniqueCount="684">
  <si>
    <t>מערכת ניהול פרגו – Dashboard</t>
  </si>
  <si>
    <t>מדד</t>
  </si>
  <si>
    <t>יעד / הערה</t>
  </si>
  <si>
    <t>בפועל</t>
  </si>
  <si>
    <t>📅 לוח שנה עסקי</t>
  </si>
  <si>
    <t>מחזור חודשי</t>
  </si>
  <si>
    <t>היום</t>
  </si>
  <si>
    <t>מחזור מצטבר</t>
  </si>
  <si>
    <t>תאריך עברי</t>
  </si>
  <si>
    <t>ימים עם נתונים</t>
  </si>
  <si>
    <t>אירוע קרוב</t>
  </si>
  <si>
    <t>ממוצע יומי בפועל</t>
  </si>
  <si>
    <t>נותרו ימים</t>
  </si>
  <si>
    <t>קצב חודשי משוער</t>
  </si>
  <si>
    <t>משימה</t>
  </si>
  <si>
    <t>מספר עסקאות</t>
  </si>
  <si>
    <t>אחראי</t>
  </si>
  <si>
    <t>ממוצע הזמנה</t>
  </si>
  <si>
    <t>סטטוס</t>
  </si>
  <si>
    <t>משלוחים</t>
  </si>
  <si>
    <t>איסוף עצמי</t>
  </si>
  <si>
    <t>ישיבה במקום</t>
  </si>
  <si>
    <t>משימות ושיווק</t>
  </si>
  <si>
    <t>יתרת בנק</t>
  </si>
  <si>
    <t>משימות בתהליך</t>
  </si>
  <si>
    <t>מזומן בקופה</t>
  </si>
  <si>
    <t>משימות תקועות</t>
  </si>
  <si>
    <t>לקוחות פוטנציאליים</t>
  </si>
  <si>
    <t>בקרת אמצעי תשלום והפקדות</t>
  </si>
  <si>
    <t>הזמנות ראשונות</t>
  </si>
  <si>
    <t>הערה</t>
  </si>
  <si>
    <t>לקוחות קבועים</t>
  </si>
  <si>
    <t>מזומן שהתקבל</t>
  </si>
  <si>
    <t>אשראי / קופה</t>
  </si>
  <si>
    <t>תן ביס / סיבוס</t>
  </si>
  <si>
    <t>וולט / משלוחה</t>
  </si>
  <si>
    <t>אחר</t>
  </si>
  <si>
    <t>סה״כ אמצעי תשלום</t>
  </si>
  <si>
    <t>צריך להיות שווה למחזור</t>
  </si>
  <si>
    <t>הפרש מול מחזור</t>
  </si>
  <si>
    <t>חריגה דורשת בדיקה</t>
  </si>
  <si>
    <t>מזומן שהופקד לבנק</t>
  </si>
  <si>
    <t>מזומן שצריך להפקיד</t>
  </si>
  <si>
    <t>מזומן פחות הפקדות</t>
  </si>
  <si>
    <t>תאריך לועזי</t>
  </si>
  <si>
    <t>יום</t>
  </si>
  <si>
    <t>אירוע / תקופה</t>
  </si>
  <si>
    <t>מחזור</t>
  </si>
  <si>
    <t>הפרש הפקדה</t>
  </si>
  <si>
    <t>הערות</t>
  </si>
  <si>
    <t>רביעי</t>
  </si>
  <si>
    <t>ט״ז תמוז תשפ״ו</t>
  </si>
  <si>
    <t>חמישי</t>
  </si>
  <si>
    <t>י״ז תמוז תשפ״ו</t>
  </si>
  <si>
    <t>בין המצרים</t>
  </si>
  <si>
    <t>צום יז' בתמוז</t>
  </si>
  <si>
    <t>שישי</t>
  </si>
  <si>
    <t>י״ח תמוז תשפ״ו</t>
  </si>
  <si>
    <t>יום שישי</t>
  </si>
  <si>
    <t>שבת</t>
  </si>
  <si>
    <t>י״ט תמוז תשפ״ו</t>
  </si>
  <si>
    <t>מוצא"ש</t>
  </si>
  <si>
    <t>ראשון</t>
  </si>
  <si>
    <t>כ׳ תמוז תשפ״ו</t>
  </si>
  <si>
    <t>שני</t>
  </si>
  <si>
    <t>כ״א תמוז תשפ״ו</t>
  </si>
  <si>
    <t>שלישי</t>
  </si>
  <si>
    <t>כ״ב תמוז תשפ״ו</t>
  </si>
  <si>
    <t>כ״ג תמוז תשפ״ו</t>
  </si>
  <si>
    <t>כ״ד תמוז תשפ״ו</t>
  </si>
  <si>
    <t>כ״ה תמוז תשפ״ו</t>
  </si>
  <si>
    <t>כ״ו תמוז תשפ״ו</t>
  </si>
  <si>
    <t>כ״ז תמוז תשפ״ו</t>
  </si>
  <si>
    <t>כ״ח תמוז תשפ״ו</t>
  </si>
  <si>
    <t>כ״ט תמוז תשפ״ו</t>
  </si>
  <si>
    <t>א׳ אב תשפ״ו</t>
  </si>
  <si>
    <t>תשעת הימים</t>
  </si>
  <si>
    <t>ב׳ אב תשפ״ו</t>
  </si>
  <si>
    <t>ג׳ אב תשפ״ו</t>
  </si>
  <si>
    <t>ד׳ אב תשפ״ו</t>
  </si>
  <si>
    <t>ה׳ אב תשפ״ו</t>
  </si>
  <si>
    <t>ו׳ אב תשפ״ו</t>
  </si>
  <si>
    <t>ז׳ אב תשפ״ו</t>
  </si>
  <si>
    <t>ח׳ אב תשפ״ו</t>
  </si>
  <si>
    <t>ט׳ אב תשפ״ו</t>
  </si>
  <si>
    <t>תשעה באב</t>
  </si>
  <si>
    <t>י׳ אב תשפ״ו</t>
  </si>
  <si>
    <t>י״א אב תשפ״ו</t>
  </si>
  <si>
    <t>מוצאי שבת</t>
  </si>
  <si>
    <t>י״ב אב תשפ״ו</t>
  </si>
  <si>
    <t>י״ג אב תשפ״ו</t>
  </si>
  <si>
    <t>י״ד אב תשפ״ו</t>
  </si>
  <si>
    <t>ט״ו אב תשפ״ו</t>
  </si>
  <si>
    <t>ט״ו באב</t>
  </si>
  <si>
    <t>ט״ז אב תשפ״ו</t>
  </si>
  <si>
    <t>י״ז אב תשפ״ו</t>
  </si>
  <si>
    <t>חשיבות</t>
  </si>
  <si>
    <t>משימה עסקית מומלצת</t>
  </si>
  <si>
    <t>בוצע</t>
  </si>
  <si>
    <t>גבוהה</t>
  </si>
  <si>
    <t>דגש חלבי ודגים; לפרסם סלמון</t>
  </si>
  <si>
    <t>מרדכי</t>
  </si>
  <si>
    <t>דגים, פסטות ומנות ללא בשר; קמפיין ממוקד</t>
  </si>
  <si>
    <t>אנה + מרדכי</t>
  </si>
  <si>
    <t>מיוחד</t>
  </si>
  <si>
    <t>בדיקת שעות פתיחה והיערכות למוצאי הצום</t>
  </si>
  <si>
    <t>אנה</t>
  </si>
  <si>
    <t>בינונית</t>
  </si>
  <si>
    <t>קמפיין שבת / קציצות דגים / סלטים</t>
  </si>
  <si>
    <t>קמפיין סעודה רביעית / סלמון</t>
  </si>
  <si>
    <t>קמפיין זוגות / ערב חלבי בוטיק</t>
  </si>
  <si>
    <t>י״ח אב תשפ״ו</t>
  </si>
  <si>
    <t>י״ט אב תשפ״ו</t>
  </si>
  <si>
    <t>כ׳ אב תשפ״ו</t>
  </si>
  <si>
    <t>כ״א אב תשפ״ו</t>
  </si>
  <si>
    <t>כ״ב אב תשפ״ו</t>
  </si>
  <si>
    <t>כ״ג אב תשפ״ו</t>
  </si>
  <si>
    <t>כ״ד אב תשפ״ו</t>
  </si>
  <si>
    <t>כ״ה אב תשפ״ו</t>
  </si>
  <si>
    <t>כ״ו אב תשפ״ו</t>
  </si>
  <si>
    <t>כ״ז אב תשפ״ו</t>
  </si>
  <si>
    <t>כ״ח אב תשפ״ו</t>
  </si>
  <si>
    <t>כ״ט אב תשפ״ו</t>
  </si>
  <si>
    <t>ל׳ אב תשפ״ו</t>
  </si>
  <si>
    <t>א׳ אלול תשפ״ו</t>
  </si>
  <si>
    <t>ב׳ אלול תשפ״ו</t>
  </si>
  <si>
    <t>ג׳ אלול תשפ״ו</t>
  </si>
  <si>
    <t>ד׳ אלול תשפ״ו</t>
  </si>
  <si>
    <t>ה׳ אלול תשפ״ו</t>
  </si>
  <si>
    <t>ו׳ אלול תשפ״ו</t>
  </si>
  <si>
    <t>ז׳ אלול תשפ״ו</t>
  </si>
  <si>
    <t>ח׳ אלול תשפ״ו</t>
  </si>
  <si>
    <t>ט׳ אלול תשפ״ו</t>
  </si>
  <si>
    <t>י׳ אלול תשפ״ו</t>
  </si>
  <si>
    <t>י״א אלול תשפ״ו</t>
  </si>
  <si>
    <t>י״ב אלול תשפ״ו</t>
  </si>
  <si>
    <t>י״ג אלול תשפ״ו</t>
  </si>
  <si>
    <t>י״ד אלול תשפ״ו</t>
  </si>
  <si>
    <t>ט״ו אלול תשפ״ו</t>
  </si>
  <si>
    <t>ט״ז אלול תשפ״ו</t>
  </si>
  <si>
    <t>י״ז אלול תשפ״ו</t>
  </si>
  <si>
    <t>י״ח אלול תשפ״ו</t>
  </si>
  <si>
    <t>י״ט אלול תשפ״ו</t>
  </si>
  <si>
    <t>כ׳ אלול תשפ״ו</t>
  </si>
  <si>
    <t>כ״א אלול תשפ״ו</t>
  </si>
  <si>
    <t>כ״ב אלול תשפ״ו</t>
  </si>
  <si>
    <t>כ״ג אלול תשפ״ו</t>
  </si>
  <si>
    <t>כ״ד אלול תשפ״ו</t>
  </si>
  <si>
    <t>כ״ה אלול תשפ״ו</t>
  </si>
  <si>
    <t>כ״ו אלול תשפ״ו</t>
  </si>
  <si>
    <t>כ״ז אלול תשפ״ו</t>
  </si>
  <si>
    <t>כ״ח אלול תשפ״ו</t>
  </si>
  <si>
    <t>כ״ט אלול תשפ״ו</t>
  </si>
  <si>
    <t>א׳ תשרי תשפ״ז</t>
  </si>
  <si>
    <t>ראש השנה</t>
  </si>
  <si>
    <t>מגשי אירוח / הזמנות חג</t>
  </si>
  <si>
    <t>ב׳ תשרי תשפ״ז</t>
  </si>
  <si>
    <t>ג׳ תשרי תשפ״ז</t>
  </si>
  <si>
    <t>ד׳ תשרי תשפ״ז</t>
  </si>
  <si>
    <t>ה׳ תשרי תשפ״ז</t>
  </si>
  <si>
    <t>ו׳ תשרי תשפ״ז</t>
  </si>
  <si>
    <t>ז׳ תשרי תשפ״ז</t>
  </si>
  <si>
    <t>ח׳ תשרי תשפ״ז</t>
  </si>
  <si>
    <t>ט׳ תשרי תשפ״ז</t>
  </si>
  <si>
    <t>י׳ תשרי תשפ״ז</t>
  </si>
  <si>
    <t>יום כיפור</t>
  </si>
  <si>
    <t>בדיקת שעות פתיחה והיערכות לפני/אחרי הצום</t>
  </si>
  <si>
    <t>י״א תשרי תשפ״ז</t>
  </si>
  <si>
    <t>י״ב תשרי תשפ״ז</t>
  </si>
  <si>
    <t>י״ג תשרי תשפ״ז</t>
  </si>
  <si>
    <t>י״ד תשרי תשפ״ז</t>
  </si>
  <si>
    <t>ט״ו תשרי תשפ״ז</t>
  </si>
  <si>
    <t>סוכות</t>
  </si>
  <si>
    <t>מנות משפחתיות / חופשת ילדים</t>
  </si>
  <si>
    <t>ט״ז תשרי תשפ״ז</t>
  </si>
  <si>
    <t>י״ז תשרי תשפ״ז</t>
  </si>
  <si>
    <t>י״ח תשרי תשפ״ז</t>
  </si>
  <si>
    <t>י״ט תשרי תשפ״ז</t>
  </si>
  <si>
    <t>כ׳ תשרי תשפ״ז</t>
  </si>
  <si>
    <t>כ״א תשרי תשפ״ז</t>
  </si>
  <si>
    <t>כ״ב תשרי תשפ״ז</t>
  </si>
  <si>
    <t>כ״ג תשרי תשפ״ז</t>
  </si>
  <si>
    <t>כ״ד תשרי תשפ״ז</t>
  </si>
  <si>
    <t>כ״ה תשרי תשפ״ז</t>
  </si>
  <si>
    <t>כ״ו תשרי תשפ״ז</t>
  </si>
  <si>
    <t>כ״ז תשרי תשפ״ז</t>
  </si>
  <si>
    <t>כ״ח תשרי תשפ״ז</t>
  </si>
  <si>
    <t>כ״ט תשרי תשפ״ז</t>
  </si>
  <si>
    <t>ל׳ תשרי תשפ״ז</t>
  </si>
  <si>
    <t>א׳ חשוון תשפ״ז</t>
  </si>
  <si>
    <t>ב׳ חשוון תשפ״ז</t>
  </si>
  <si>
    <t>ג׳ חשוון תשפ״ז</t>
  </si>
  <si>
    <t>ד׳ חשוון תשפ״ז</t>
  </si>
  <si>
    <t>ה׳ חשוון תשפ״ז</t>
  </si>
  <si>
    <t>ו׳ חשוון תשפ״ז</t>
  </si>
  <si>
    <t>ז׳ חשוון תשפ״ז</t>
  </si>
  <si>
    <t>ח׳ חשוון תשפ״ז</t>
  </si>
  <si>
    <t>ט׳ חשוון תשפ״ז</t>
  </si>
  <si>
    <t>י׳ חשוון תשפ״ז</t>
  </si>
  <si>
    <t>י״א חשוון תשפ״ז</t>
  </si>
  <si>
    <t>י״ב חשוון תשפ״ז</t>
  </si>
  <si>
    <t>י״ג חשוון תשפ״ז</t>
  </si>
  <si>
    <t>י״ד חשוון תשפ״ז</t>
  </si>
  <si>
    <t>ט״ו חשוון תשפ״ז</t>
  </si>
  <si>
    <t>ט״ז חשוון תשפ״ז</t>
  </si>
  <si>
    <t>י״ז חשוון תשפ״ז</t>
  </si>
  <si>
    <t>י״ח חשוון תשפ״ז</t>
  </si>
  <si>
    <t>י״ט חשוון תשפ״ז</t>
  </si>
  <si>
    <t>כ׳ חשוון תשפ״ז</t>
  </si>
  <si>
    <t>כ״א חשוון תשפ״ז</t>
  </si>
  <si>
    <t>כ״ב חשוון תשפ״ז</t>
  </si>
  <si>
    <t>כ״ג חשוון תשפ״ז</t>
  </si>
  <si>
    <t>כ״ד חשוון תשפ״ז</t>
  </si>
  <si>
    <t>כ״ה חשוון תשפ״ז</t>
  </si>
  <si>
    <t>כ״ו חשוון תשפ״ז</t>
  </si>
  <si>
    <t>כ״ז חשוון תשפ״ז</t>
  </si>
  <si>
    <t>כ״ח חשוון תשפ״ז</t>
  </si>
  <si>
    <t>כ״ט חשוון תשפ״ז</t>
  </si>
  <si>
    <t>ל׳ חשוון תשפ״ז</t>
  </si>
  <si>
    <t>א׳ כסלו תשפ״ז</t>
  </si>
  <si>
    <t>ב׳ כסלו תשפ״ז</t>
  </si>
  <si>
    <t>ג׳ כסלו תשפ״ז</t>
  </si>
  <si>
    <t>ד׳ כסלו תשפ״ז</t>
  </si>
  <si>
    <t>ה׳ כסלו תשפ״ז</t>
  </si>
  <si>
    <t>ו׳ כסלו תשפ״ז</t>
  </si>
  <si>
    <t>ז׳ כסלו תשפ״ז</t>
  </si>
  <si>
    <t>ח׳ כסלו תשפ״ז</t>
  </si>
  <si>
    <t>ט׳ כסלו תשפ״ז</t>
  </si>
  <si>
    <t>י׳ כסלו תשפ״ז</t>
  </si>
  <si>
    <t>י״א כסלו תשפ״ז</t>
  </si>
  <si>
    <t>י״ב כסלו תשפ״ז</t>
  </si>
  <si>
    <t>י״ג כסלו תשפ״ז</t>
  </si>
  <si>
    <t>י״ד כסלו תשפ״ז</t>
  </si>
  <si>
    <t>ט״ו כסלו תשפ״ז</t>
  </si>
  <si>
    <t>ט״ז כסלו תשפ״ז</t>
  </si>
  <si>
    <t>י״ז כסלו תשפ״ז</t>
  </si>
  <si>
    <t>י״ח כסלו תשפ״ז</t>
  </si>
  <si>
    <t>י״ט כסלו תשפ״ז</t>
  </si>
  <si>
    <t>כ׳ כסלו תשפ״ז</t>
  </si>
  <si>
    <t>כ״א כסלו תשפ״ז</t>
  </si>
  <si>
    <t>כ״ב כסלו תשפ״ז</t>
  </si>
  <si>
    <t>כ״ג כסלו תשפ״ז</t>
  </si>
  <si>
    <t>כ״ד כסלו תשפ״ז</t>
  </si>
  <si>
    <t>כ״ה כסלו תשפ״ז</t>
  </si>
  <si>
    <t>חנוכה</t>
  </si>
  <si>
    <t>משפחות, ילדים, מבצעים ומנות חמות</t>
  </si>
  <si>
    <t>כ״ו כסלו תשפ״ז</t>
  </si>
  <si>
    <t>כ״ז כסלו תשפ״ז</t>
  </si>
  <si>
    <t>כ״ח כסלו תשפ״ז</t>
  </si>
  <si>
    <t>כ״ט כסלו תשפ״ז</t>
  </si>
  <si>
    <t>ל׳ כסלו תשפ״ז</t>
  </si>
  <si>
    <t>א׳ טבת תשפ״ז</t>
  </si>
  <si>
    <t>ב׳ טבת תשפ״ז</t>
  </si>
  <si>
    <t>ג׳ טבת תשפ״ז</t>
  </si>
  <si>
    <t>ד׳ טבת תשפ״ז</t>
  </si>
  <si>
    <t>ה׳ טבת תשפ״ז</t>
  </si>
  <si>
    <t>ו׳ טבת תשפ״ז</t>
  </si>
  <si>
    <t>ז׳ טבת תשפ״ז</t>
  </si>
  <si>
    <t>ח׳ טבת תשפ״ז</t>
  </si>
  <si>
    <t>ט׳ טבת תשפ״ז</t>
  </si>
  <si>
    <t>י׳ טבת תשפ״ז</t>
  </si>
  <si>
    <t>י״א טבת תשפ״ז</t>
  </si>
  <si>
    <t>י״ב טבת תשפ״ז</t>
  </si>
  <si>
    <t>י״ג טבת תשפ״ז</t>
  </si>
  <si>
    <t>י״ד טבת תשפ״ז</t>
  </si>
  <si>
    <t>ט״ו טבת תשפ״ז</t>
  </si>
  <si>
    <t>ט״ז טבת תשפ״ז</t>
  </si>
  <si>
    <t>י״ז טבת תשפ״ז</t>
  </si>
  <si>
    <t>י״ח טבת תשפ״ז</t>
  </si>
  <si>
    <t>י״ט טבת תשפ״ז</t>
  </si>
  <si>
    <t>כ׳ טבת תשפ״ז</t>
  </si>
  <si>
    <t>כ״א טבת תשפ״ז</t>
  </si>
  <si>
    <t>כ״ב טבת תשפ״ז</t>
  </si>
  <si>
    <t>כ״ג טבת תשפ״ז</t>
  </si>
  <si>
    <t>כ״ד טבת תשפ״ז</t>
  </si>
  <si>
    <t>כ״ה טבת תשפ״ז</t>
  </si>
  <si>
    <t>כ״ו טבת תשפ״ז</t>
  </si>
  <si>
    <t>כ״ז טבת תשפ״ז</t>
  </si>
  <si>
    <t>כ״ח טבת תשפ״ז</t>
  </si>
  <si>
    <t>כ״ט טבת תשפ״ז</t>
  </si>
  <si>
    <t>א׳ שבט תשפ״ז</t>
  </si>
  <si>
    <t>ב׳ שבט תשפ״ז</t>
  </si>
  <si>
    <t>ג׳ שבט תשפ״ז</t>
  </si>
  <si>
    <t>ד׳ שבט תשפ״ז</t>
  </si>
  <si>
    <t>ה׳ שבט תשפ״ז</t>
  </si>
  <si>
    <t>ו׳ שבט תשפ״ז</t>
  </si>
  <si>
    <t>ז׳ שבט תשפ״ז</t>
  </si>
  <si>
    <t>ח׳ שבט תשפ״ז</t>
  </si>
  <si>
    <t>ט׳ שבט תשפ״ז</t>
  </si>
  <si>
    <t>י׳ שבט תשפ״ז</t>
  </si>
  <si>
    <t>י״א שבט תשפ״ז</t>
  </si>
  <si>
    <t>י״ב שבט תשפ״ז</t>
  </si>
  <si>
    <t>י״ג שבט תשפ״ז</t>
  </si>
  <si>
    <t>י״ד שבט תשפ״ז</t>
  </si>
  <si>
    <t>ט״ו שבט תשפ״ז</t>
  </si>
  <si>
    <t>ט״ז שבט תשפ״ז</t>
  </si>
  <si>
    <t>י״ז שבט תשפ״ז</t>
  </si>
  <si>
    <t>י״ח שבט תשפ״ז</t>
  </si>
  <si>
    <t>י״ט שבט תשפ״ז</t>
  </si>
  <si>
    <t>כ׳ שבט תשפ״ז</t>
  </si>
  <si>
    <t>כ״א שבט תשפ״ז</t>
  </si>
  <si>
    <t>כ״ב שבט תשפ״ז</t>
  </si>
  <si>
    <t>כ״ג שבט תשפ״ז</t>
  </si>
  <si>
    <t>כ״ד שבט תשפ״ז</t>
  </si>
  <si>
    <t>כ״ה שבט תשפ״ז</t>
  </si>
  <si>
    <t>כ״ו שבט תשפ״ז</t>
  </si>
  <si>
    <t>כ״ז שבט תשפ״ז</t>
  </si>
  <si>
    <t>כ״ח שבט תשפ״ז</t>
  </si>
  <si>
    <t>כ״ט שבט תשפ״ז</t>
  </si>
  <si>
    <t>ל׳ שבט תשפ״ז</t>
  </si>
  <si>
    <t>א׳ אדר תשפ״ז</t>
  </si>
  <si>
    <t>ב׳ אדר תשפ״ז</t>
  </si>
  <si>
    <t>ג׳ אדר תשפ״ז</t>
  </si>
  <si>
    <t>ד׳ אדר תשפ״ז</t>
  </si>
  <si>
    <t>ה׳ אדר תשפ״ז</t>
  </si>
  <si>
    <t>ו׳ אדר תשפ״ז</t>
  </si>
  <si>
    <t>ז׳ אדר תשפ״ז</t>
  </si>
  <si>
    <t>ח׳ אדר תשפ״ז</t>
  </si>
  <si>
    <t>ט׳ אדר תשפ״ז</t>
  </si>
  <si>
    <t>י׳ אדר תשפ״ז</t>
  </si>
  <si>
    <t>י״א אדר תשפ״ז</t>
  </si>
  <si>
    <t>י״ב אדר תשפ״ז</t>
  </si>
  <si>
    <t>י״ג אדר תשפ״ז</t>
  </si>
  <si>
    <t>י״ד אדר תשפ״ז</t>
  </si>
  <si>
    <t>פורים</t>
  </si>
  <si>
    <t>משלוחי מנות / מגשי אירוח</t>
  </si>
  <si>
    <t>ט״ו אדר תשפ״ז</t>
  </si>
  <si>
    <t>ט״ז אדר תשפ״ז</t>
  </si>
  <si>
    <t>י״ז אדר תשפ״ז</t>
  </si>
  <si>
    <t>י״ח אדר תשפ״ז</t>
  </si>
  <si>
    <t>י״ט אדר תשפ״ז</t>
  </si>
  <si>
    <t>כ׳ אדר תשפ״ז</t>
  </si>
  <si>
    <t>כ״א אדר תשפ״ז</t>
  </si>
  <si>
    <t>כ״ב אדר תשפ״ז</t>
  </si>
  <si>
    <t>כ״ג אדר תשפ״ז</t>
  </si>
  <si>
    <t>כ״ד אדר תשפ״ז</t>
  </si>
  <si>
    <t>כ״ה אדר תשפ״ז</t>
  </si>
  <si>
    <t>כ״ו אדר תשפ״ז</t>
  </si>
  <si>
    <t>כ״ז אדר תשפ״ז</t>
  </si>
  <si>
    <t>כ״ח אדר תשפ״ז</t>
  </si>
  <si>
    <t>כ״ט אדר תשפ״ז</t>
  </si>
  <si>
    <t>ל׳ אדר תשפ״ז</t>
  </si>
  <si>
    <t>א׳ אדר ב׳ תשפ״ז</t>
  </si>
  <si>
    <t>ב׳ אדר ב׳ תשפ״ז</t>
  </si>
  <si>
    <t>ג׳ אדר ב׳ תשפ״ז</t>
  </si>
  <si>
    <t>ד׳ אדר ב׳ תשפ״ז</t>
  </si>
  <si>
    <t>ה׳ אדר ב׳ תשפ״ז</t>
  </si>
  <si>
    <t>ו׳ אדר ב׳ תשפ״ז</t>
  </si>
  <si>
    <t>ז׳ אדר ב׳ תשפ״ז</t>
  </si>
  <si>
    <t>ח׳ אדר ב׳ תשפ״ז</t>
  </si>
  <si>
    <t>ט׳ אדר ב׳ תשפ״ז</t>
  </si>
  <si>
    <t>י׳ אדר ב׳ תשפ״ז</t>
  </si>
  <si>
    <t>י״א אדר ב׳ תשפ״ז</t>
  </si>
  <si>
    <t>י״ב אדר ב׳ תשפ״ז</t>
  </si>
  <si>
    <t>י״ג אדר ב׳ תשפ״ז</t>
  </si>
  <si>
    <t>י״ד אדר ב׳ תשפ״ז</t>
  </si>
  <si>
    <t>ט״ו אדר ב׳ תשפ״ז</t>
  </si>
  <si>
    <t>ט״ז אדר ב׳ תשפ״ז</t>
  </si>
  <si>
    <t>י״ז אדר ב׳ תשפ״ז</t>
  </si>
  <si>
    <t>י״ח אדר ב׳ תשפ״ז</t>
  </si>
  <si>
    <t>י״ט אדר ב׳ תשפ״ז</t>
  </si>
  <si>
    <t>כ׳ אדר ב׳ תשפ״ז</t>
  </si>
  <si>
    <t>כ״א אדר ב׳ תשפ״ז</t>
  </si>
  <si>
    <t>כ״ב אדר ב׳ תשפ״ז</t>
  </si>
  <si>
    <t>כ״ג אדר ב׳ תשפ״ז</t>
  </si>
  <si>
    <t>כ״ד אדר ב׳ תשפ״ז</t>
  </si>
  <si>
    <t>כ״ה אדר ב׳ תשפ״ז</t>
  </si>
  <si>
    <t>כ״ו אדר ב׳ תשפ״ז</t>
  </si>
  <si>
    <t>כ״ז אדר ב׳ תשפ״ז</t>
  </si>
  <si>
    <t>כ״ח אדר ב׳ תשפ״ז</t>
  </si>
  <si>
    <t>כ״ט אדר ב׳ תשפ״ז</t>
  </si>
  <si>
    <t>א׳ ניסן תשפ״ז</t>
  </si>
  <si>
    <t>ב׳ ניסן תשפ״ז</t>
  </si>
  <si>
    <t>ג׳ ניסן תשפ״ז</t>
  </si>
  <si>
    <t>ד׳ ניסן תשפ״ז</t>
  </si>
  <si>
    <t>ה׳ ניסן תשפ״ז</t>
  </si>
  <si>
    <t>ו׳ ניסן תשפ״ז</t>
  </si>
  <si>
    <t>ז׳ ניסן תשפ״ז</t>
  </si>
  <si>
    <t>ח׳ ניסן תשפ״ז</t>
  </si>
  <si>
    <t>ט׳ ניסן תשפ״ז</t>
  </si>
  <si>
    <t>י׳ ניסן תשפ״ז</t>
  </si>
  <si>
    <t>י״א ניסן תשפ״ז</t>
  </si>
  <si>
    <t>י״ב ניסן תשפ״ז</t>
  </si>
  <si>
    <t>י״ג ניסן תשפ״ז</t>
  </si>
  <si>
    <t>י״ד ניסן תשפ״ז</t>
  </si>
  <si>
    <t>פסח</t>
  </si>
  <si>
    <t>בדיקת פעילות / כשרות / תפריט חג</t>
  </si>
  <si>
    <t>ט״ו ניסן תשפ״ז</t>
  </si>
  <si>
    <t>ט״ז ניסן תשפ״ז</t>
  </si>
  <si>
    <t>י״ז ניסן תשפ״ז</t>
  </si>
  <si>
    <t>י״ח ניסן תשפ״ז</t>
  </si>
  <si>
    <t>י״ט ניסן תשפ״ז</t>
  </si>
  <si>
    <t>כ׳ ניסן תשפ״ז</t>
  </si>
  <si>
    <t>כ״א ניסן תשפ״ז</t>
  </si>
  <si>
    <t>כ״ב ניסן תשפ״ז</t>
  </si>
  <si>
    <t>כ״ג ניסן תשפ״ז</t>
  </si>
  <si>
    <t>כ״ד ניסן תשפ״ז</t>
  </si>
  <si>
    <t>כ״ה ניסן תשפ״ז</t>
  </si>
  <si>
    <t>כ״ו ניסן תשפ״ז</t>
  </si>
  <si>
    <t>כ״ז ניסן תשפ״ז</t>
  </si>
  <si>
    <t>כ״ח ניסן תשפ״ז</t>
  </si>
  <si>
    <t>כ״ט ניסן תשפ״ז</t>
  </si>
  <si>
    <t>ל׳ ניסן תשפ״ז</t>
  </si>
  <si>
    <t>א׳ אייר תשפ״ז</t>
  </si>
  <si>
    <t>ב׳ אייר תשפ״ז</t>
  </si>
  <si>
    <t>ג׳ אייר תשפ״ז</t>
  </si>
  <si>
    <t>ד׳ אייר תשפ״ז</t>
  </si>
  <si>
    <t>ה׳ אייר תשפ״ז</t>
  </si>
  <si>
    <t>ו׳ אייר תשפ״ז</t>
  </si>
  <si>
    <t>ז׳ אייר תשפ״ז</t>
  </si>
  <si>
    <t>ח׳ אייר תשפ״ז</t>
  </si>
  <si>
    <t>ט׳ אייר תשפ״ז</t>
  </si>
  <si>
    <t>י׳ אייר תשפ״ז</t>
  </si>
  <si>
    <t>י״א אייר תשפ״ז</t>
  </si>
  <si>
    <t>י״ב אייר תשפ״ז</t>
  </si>
  <si>
    <t>י״ג אייר תשפ״ז</t>
  </si>
  <si>
    <t>י״ד אייר תשפ״ז</t>
  </si>
  <si>
    <t>ט״ו אייר תשפ״ז</t>
  </si>
  <si>
    <t>ט״ז אייר תשפ״ז</t>
  </si>
  <si>
    <t>י״ז אייר תשפ״ז</t>
  </si>
  <si>
    <t>י״ח אייר תשפ״ז</t>
  </si>
  <si>
    <t>י״ט אייר תשפ״ז</t>
  </si>
  <si>
    <t>כ׳ אייר תשפ״ז</t>
  </si>
  <si>
    <t>כ״א אייר תשפ״ז</t>
  </si>
  <si>
    <t>כ״ב אייר תשפ״ז</t>
  </si>
  <si>
    <t>כ״ג אייר תשפ״ז</t>
  </si>
  <si>
    <t>כ״ד אייר תשפ״ז</t>
  </si>
  <si>
    <t>כ״ה אייר תשפ״ז</t>
  </si>
  <si>
    <t>כ״ו אייר תשפ״ז</t>
  </si>
  <si>
    <t>כ״ז אייר תשפ״ז</t>
  </si>
  <si>
    <t>כ״ח אייר תשפ״ז</t>
  </si>
  <si>
    <t>כ״ט אייר תשפ״ז</t>
  </si>
  <si>
    <t>א׳ סיון תשפ״ז</t>
  </si>
  <si>
    <t>ב׳ סיון תשפ״ז</t>
  </si>
  <si>
    <t>ג׳ סיון תשפ״ז</t>
  </si>
  <si>
    <t>ד׳ סיון תשפ״ז</t>
  </si>
  <si>
    <t>ה׳ סיון תשפ״ז</t>
  </si>
  <si>
    <t>שבועות</t>
  </si>
  <si>
    <t>גבוהה מאוד</t>
  </si>
  <si>
    <t>קמפיין חלבי מרכזי; הזמנות מראש</t>
  </si>
  <si>
    <t>ו׳ סיון תשפ״ז</t>
  </si>
  <si>
    <t>ז׳ סיון תשפ״ז</t>
  </si>
  <si>
    <t>ח׳ סיון תשפ״ז</t>
  </si>
  <si>
    <t>ט׳ סיון תשפ״ז</t>
  </si>
  <si>
    <t>י׳ סיון תשפ״ז</t>
  </si>
  <si>
    <t>י״א סיון תשפ״ז</t>
  </si>
  <si>
    <t>י״ב סיון תשפ״ז</t>
  </si>
  <si>
    <t>י״ג סיון תשפ״ז</t>
  </si>
  <si>
    <t>י״ד סיון תשפ״ז</t>
  </si>
  <si>
    <t>ט״ו סיון תשפ״ז</t>
  </si>
  <si>
    <t>ט״ז סיון תשפ״ז</t>
  </si>
  <si>
    <t>י״ז סיון תשפ״ז</t>
  </si>
  <si>
    <t>י״ח סיון תשפ״ז</t>
  </si>
  <si>
    <t>י״ט סיון תשפ״ז</t>
  </si>
  <si>
    <t>כ׳ סיון תשפ״ז</t>
  </si>
  <si>
    <t>כ״א סיון תשפ״ז</t>
  </si>
  <si>
    <t>כ״ב סיון תשפ״ז</t>
  </si>
  <si>
    <t>כ״ג סיון תשפ״ז</t>
  </si>
  <si>
    <t>כ״ד סיון תשפ״ז</t>
  </si>
  <si>
    <t>כ״ה סיון תשפ״ז</t>
  </si>
  <si>
    <t>כ״ו סיון תשפ״ז</t>
  </si>
  <si>
    <t>כ״ז סיון תשפ״ז</t>
  </si>
  <si>
    <t>כ״ח סיון תשפ״ז</t>
  </si>
  <si>
    <t>כ״ט סיון תשפ״ז</t>
  </si>
  <si>
    <t>ל׳ סיון תשפ״ז</t>
  </si>
  <si>
    <t>א׳ תמוז תשפ״ז</t>
  </si>
  <si>
    <t>ב׳ תמוז תשפ״ז</t>
  </si>
  <si>
    <t>ג׳ תמוז תשפ״ז</t>
  </si>
  <si>
    <t>ד׳ תמוז תשפ״ז</t>
  </si>
  <si>
    <t>ה׳ תמוז תשפ״ז</t>
  </si>
  <si>
    <t>ו׳ תמוז תשפ״ז</t>
  </si>
  <si>
    <t>ז׳ תמוז תשפ״ז</t>
  </si>
  <si>
    <t>ח׳ תמוז תשפ״ז</t>
  </si>
  <si>
    <t>ט׳ תמוז תשפ״ז</t>
  </si>
  <si>
    <t>י׳ תמוז תשפ״ז</t>
  </si>
  <si>
    <t>י״א תמוז תשפ״ז</t>
  </si>
  <si>
    <t>י״ב תמוז תשפ״ז</t>
  </si>
  <si>
    <t>י״ג תמוז תשפ״ז</t>
  </si>
  <si>
    <t>י״ד תמוז תשפ״ז</t>
  </si>
  <si>
    <t>ט״ו תמוז תשפ״ז</t>
  </si>
  <si>
    <t>ט״ז תמוז תשפ״ז</t>
  </si>
  <si>
    <t>י״ז תמוז תשפ״ז</t>
  </si>
  <si>
    <t>י״ח תמוז תשפ״ז</t>
  </si>
  <si>
    <t>י״ט תמוז תשפ״ז</t>
  </si>
  <si>
    <t>כ׳ תמוז תשפ״ז</t>
  </si>
  <si>
    <t>כ״א תמוז תשפ״ז</t>
  </si>
  <si>
    <t>כ״ב תמוז תשפ״ז</t>
  </si>
  <si>
    <t>כ״ג תמוז תשפ״ז</t>
  </si>
  <si>
    <t>כ״ד תמוז תשפ״ז</t>
  </si>
  <si>
    <t>כ״ה תמוז תשפ״ז</t>
  </si>
  <si>
    <t>כ״ו תמוז תשפ״ז</t>
  </si>
  <si>
    <t>כ״ז תמוז תשפ״ז</t>
  </si>
  <si>
    <t>כ״ח תמוז תשפ״ז</t>
  </si>
  <si>
    <t>כ״ט תמוז תשפ״ז</t>
  </si>
  <si>
    <t>א׳ אב תשפ״ז</t>
  </si>
  <si>
    <t>ב׳ אב תשפ״ז</t>
  </si>
  <si>
    <t>ג׳ אב תשפ״ז</t>
  </si>
  <si>
    <t>ד׳ אב תשפ״ז</t>
  </si>
  <si>
    <t>ה׳ אב תשפ״ז</t>
  </si>
  <si>
    <t>ו׳ אב תשפ״ז</t>
  </si>
  <si>
    <t>ז׳ אב תשפ״ז</t>
  </si>
  <si>
    <t>ח׳ אב תשפ״ז</t>
  </si>
  <si>
    <t>ט׳ אב תשפ״ז</t>
  </si>
  <si>
    <t>י׳ אב תשפ״ז</t>
  </si>
  <si>
    <t>י״א אב תשפ״ז</t>
  </si>
  <si>
    <t>י״ב אב תשפ״ז</t>
  </si>
  <si>
    <t>י״ג אב תשפ״ז</t>
  </si>
  <si>
    <t>י״ד אב תשפ״ז</t>
  </si>
  <si>
    <t>ט״ו אב תשפ״ז</t>
  </si>
  <si>
    <t>ט״ז אב תשפ״ז</t>
  </si>
  <si>
    <t>י״ז אב תשפ״ז</t>
  </si>
  <si>
    <t>י״ח אב תשפ״ז</t>
  </si>
  <si>
    <t>י״ט אב תשפ״ז</t>
  </si>
  <si>
    <t>כ׳ אב תשפ״ז</t>
  </si>
  <si>
    <t>כ״א אב תשפ״ז</t>
  </si>
  <si>
    <t>כ״ב אב תשפ״ז</t>
  </si>
  <si>
    <t>כ״ג אב תשפ״ז</t>
  </si>
  <si>
    <t>כ״ד אב תשפ״ז</t>
  </si>
  <si>
    <t>כ״ה אב תשפ״ז</t>
  </si>
  <si>
    <t>כ״ו אב תשפ״ז</t>
  </si>
  <si>
    <t>כ״ז אב תשפ״ז</t>
  </si>
  <si>
    <t>כ״ח אב תשפ״ז</t>
  </si>
  <si>
    <t>כ״ט אב תשפ״ז</t>
  </si>
  <si>
    <t>ל׳ אב תשפ״ז</t>
  </si>
  <si>
    <t>א׳ אלול תשפ״ז</t>
  </si>
  <si>
    <t>ב׳ אלול תשפ״ז</t>
  </si>
  <si>
    <t>ג׳ אלול תשפ״ז</t>
  </si>
  <si>
    <t>ד׳ אלול תשפ״ז</t>
  </si>
  <si>
    <t>ה׳ אלול תשפ״ז</t>
  </si>
  <si>
    <t>ו׳ אלול תשפ״ז</t>
  </si>
  <si>
    <t>ז׳ אלול תשפ״ז</t>
  </si>
  <si>
    <t>ח׳ אלול תשפ״ז</t>
  </si>
  <si>
    <t>ט׳ אלול תשפ״ז</t>
  </si>
  <si>
    <t>י׳ אלול תשפ״ז</t>
  </si>
  <si>
    <t>י״א אלול תשפ״ז</t>
  </si>
  <si>
    <t>י״ב אלול תשפ״ז</t>
  </si>
  <si>
    <t>י״ג אלול תשפ״ז</t>
  </si>
  <si>
    <t>י״ד אלול תשפ״ז</t>
  </si>
  <si>
    <t>ט״ו אלול תשפ״ז</t>
  </si>
  <si>
    <t>ט״ז אלול תשפ״ז</t>
  </si>
  <si>
    <t>י״ז אלול תשפ״ז</t>
  </si>
  <si>
    <t>י״ח אלול תשפ״ז</t>
  </si>
  <si>
    <t>י״ט אלול תשפ״ז</t>
  </si>
  <si>
    <t>כ׳ אלול תשפ״ז</t>
  </si>
  <si>
    <t>כ״א אלול תשפ״ז</t>
  </si>
  <si>
    <t>כ״ב אלול תשפ״ז</t>
  </si>
  <si>
    <t>כ״ג אלול תשפ״ז</t>
  </si>
  <si>
    <t>כ״ד אלול תשפ״ז</t>
  </si>
  <si>
    <t>כ״ה אלול תשפ״ז</t>
  </si>
  <si>
    <t>כ״ו אלול תשפ״ז</t>
  </si>
  <si>
    <t>כ״ז אלול תשפ״ז</t>
  </si>
  <si>
    <t>כ״ח אלול תשפ״ז</t>
  </si>
  <si>
    <t>כ״ט אלול תשפ״ז</t>
  </si>
  <si>
    <t>א׳ תשרי תשפ״ח</t>
  </si>
  <si>
    <t>ב׳ תשרי תשפ״ח</t>
  </si>
  <si>
    <t>ג׳ תשרי תשפ״ח</t>
  </si>
  <si>
    <t>ד׳ תשרי תשפ״ח</t>
  </si>
  <si>
    <t>ה׳ תשרי תשפ״ח</t>
  </si>
  <si>
    <t>ו׳ תשרי תשפ״ח</t>
  </si>
  <si>
    <t>ז׳ תשרי תשפ״ח</t>
  </si>
  <si>
    <t>ח׳ תשרי תשפ״ח</t>
  </si>
  <si>
    <t>ט׳ תשרי תשפ״ח</t>
  </si>
  <si>
    <t>י׳ תשרי תשפ״ח</t>
  </si>
  <si>
    <t>י״א תשרי תשפ״ח</t>
  </si>
  <si>
    <t>י״ב תשרי תשפ״ח</t>
  </si>
  <si>
    <t>י״ג תשרי תשפ״ח</t>
  </si>
  <si>
    <t>י״ד תשרי תשפ״ח</t>
  </si>
  <si>
    <t>ט״ו תשרי תשפ״ח</t>
  </si>
  <si>
    <t>ט״ז תשרי תשפ״ח</t>
  </si>
  <si>
    <t>י״ז תשרי תשפ״ח</t>
  </si>
  <si>
    <t>י״ח תשרי תשפ״ח</t>
  </si>
  <si>
    <t>י״ט תשרי תשפ״ח</t>
  </si>
  <si>
    <t>כ׳ תשרי תשפ״ח</t>
  </si>
  <si>
    <t>כ״א תשרי תשפ״ח</t>
  </si>
  <si>
    <t>כ״ב תשרי תשפ״ח</t>
  </si>
  <si>
    <t>כ״ג תשרי תשפ״ח</t>
  </si>
  <si>
    <t>כ״ד תשרי תשפ״ח</t>
  </si>
  <si>
    <t>כ״ה תשרי תשפ״ח</t>
  </si>
  <si>
    <t>כ״ו תשרי תשפ״ח</t>
  </si>
  <si>
    <t>כ״ז תשרי תשפ״ח</t>
  </si>
  <si>
    <t>כ״ח תשרי תשפ״ח</t>
  </si>
  <si>
    <t>כ״ט תשרי תשפ״ח</t>
  </si>
  <si>
    <t>ל׳ תשרי תשפ״ח</t>
  </si>
  <si>
    <t>א׳ חשוון תשפ״ח</t>
  </si>
  <si>
    <t>ב׳ חשוון תשפ״ח</t>
  </si>
  <si>
    <t>ג׳ חשוון תשפ״ח</t>
  </si>
  <si>
    <t>ד׳ חשוון תשפ״ח</t>
  </si>
  <si>
    <t>ה׳ חשוון תשפ״ח</t>
  </si>
  <si>
    <t>ו׳ חשוון תשפ״ח</t>
  </si>
  <si>
    <t>ז׳ חשוון תשפ״ח</t>
  </si>
  <si>
    <t>ח׳ חשוון תשפ״ח</t>
  </si>
  <si>
    <t>ט׳ חשוון תשפ״ח</t>
  </si>
  <si>
    <t>י׳ חשוון תשפ״ח</t>
  </si>
  <si>
    <t>י״א חשוון תשפ״ח</t>
  </si>
  <si>
    <t>י״ב חשוון תשפ״ח</t>
  </si>
  <si>
    <t>י״ג חשוון תשפ״ח</t>
  </si>
  <si>
    <t>י״ד חשוון תשפ״ח</t>
  </si>
  <si>
    <t>ט״ו חשוון תשפ״ח</t>
  </si>
  <si>
    <t>ט״ז חשוון תשפ״ח</t>
  </si>
  <si>
    <t>י״ז חשוון תשפ״ח</t>
  </si>
  <si>
    <t>י״ח חשוון תשפ״ח</t>
  </si>
  <si>
    <t>י״ט חשוון תשפ״ח</t>
  </si>
  <si>
    <t>כ׳ חשוון תשפ״ח</t>
  </si>
  <si>
    <t>כ״א חשוון תשפ״ח</t>
  </si>
  <si>
    <t>כ״ב חשוון תשפ״ח</t>
  </si>
  <si>
    <t>כ״ג חשוון תשפ״ח</t>
  </si>
  <si>
    <t>כ״ד חשוון תשפ״ח</t>
  </si>
  <si>
    <t>כ״ה חשוון תשפ״ח</t>
  </si>
  <si>
    <t>כ״ו חשוון תשפ״ח</t>
  </si>
  <si>
    <t>כ״ז חשוון תשפ״ח</t>
  </si>
  <si>
    <t>כ״ח חשוון תשפ״ח</t>
  </si>
  <si>
    <t>כ״ט חשוון תשפ״ח</t>
  </si>
  <si>
    <t>ל׳ חשוון תשפ״ח</t>
  </si>
  <si>
    <t>א׳ כסלו תשפ״ח</t>
  </si>
  <si>
    <t>ב׳ כסלו תשפ״ח</t>
  </si>
  <si>
    <t>ג׳ כסלו תשפ״ח</t>
  </si>
  <si>
    <t>ד׳ כסלו תשפ״ח</t>
  </si>
  <si>
    <t>ה׳ כסלו תשפ״ח</t>
  </si>
  <si>
    <t>ו׳ כסלו תשפ״ח</t>
  </si>
  <si>
    <t>ז׳ כסלו תשפ״ח</t>
  </si>
  <si>
    <t>ח׳ כסלו תשפ״ח</t>
  </si>
  <si>
    <t>ט׳ כסלו תשפ״ח</t>
  </si>
  <si>
    <t>י׳ כסלו תשפ״ח</t>
  </si>
  <si>
    <t>י״א כסלו תשפ״ח</t>
  </si>
  <si>
    <t>י״ב כסלו תשפ״ח</t>
  </si>
  <si>
    <t>י״ג כסלו תשפ״ח</t>
  </si>
  <si>
    <t>י״ד כסלו תשפ״ח</t>
  </si>
  <si>
    <t>ט״ו כסלו תשפ״ח</t>
  </si>
  <si>
    <t>ט״ז כסלו תשפ״ח</t>
  </si>
  <si>
    <t>י״ז כסלו תשפ״ח</t>
  </si>
  <si>
    <t>י״ח כסלו תשפ״ח</t>
  </si>
  <si>
    <t>י״ט כסלו תשפ״ח</t>
  </si>
  <si>
    <t>כ׳ כסלו תשפ״ח</t>
  </si>
  <si>
    <t>כ״א כסלו תשפ״ח</t>
  </si>
  <si>
    <t>כ״ב כסלו תשפ״ח</t>
  </si>
  <si>
    <t>כ״ג כסלו תשפ״ח</t>
  </si>
  <si>
    <t>כ״ד כסלו תשפ״ח</t>
  </si>
  <si>
    <t>כ״ה כסלו תשפ״ח</t>
  </si>
  <si>
    <t>כ״ו כסלו תשפ״ח</t>
  </si>
  <si>
    <t>כ״ז כסלו תשפ״ח</t>
  </si>
  <si>
    <t>כ״ח כסלו תשפ״ח</t>
  </si>
  <si>
    <t>כ״ט כסלו תשפ״ח</t>
  </si>
  <si>
    <t>ל׳ כסלו תשפ״ח</t>
  </si>
  <si>
    <t>א׳ טבת תשפ״ח</t>
  </si>
  <si>
    <t>תחום</t>
  </si>
  <si>
    <t>תאריך יעד</t>
  </si>
  <si>
    <t>מסכי כניסה</t>
  </si>
  <si>
    <t>שיווק</t>
  </si>
  <si>
    <t>מתוכנן</t>
  </si>
  <si>
    <t>טאבלטים למלצרים</t>
  </si>
  <si>
    <t>שירות</t>
  </si>
  <si>
    <t>צילום מנות</t>
  </si>
  <si>
    <t>פנייה לבתי ספר ועסקים</t>
  </si>
  <si>
    <t>מכירות</t>
  </si>
  <si>
    <t>בדיקת כשרות</t>
  </si>
  <si>
    <t>אסטרטגיה</t>
  </si>
  <si>
    <t>שדרוג הגשת מנות</t>
  </si>
  <si>
    <t>תפריט</t>
  </si>
  <si>
    <t>קמפיין סלמון בין המצרים</t>
  </si>
  <si>
    <t>בתהליך</t>
  </si>
  <si>
    <t>קמפיין קציצות דגים לשישי</t>
  </si>
  <si>
    <t>מס׳</t>
  </si>
  <si>
    <t>שם העסק / מוסד</t>
  </si>
  <si>
    <t>קטגוריה</t>
  </si>
  <si>
    <t>איש קשר</t>
  </si>
  <si>
    <t>תפקיד</t>
  </si>
  <si>
    <t>טלפון</t>
  </si>
  <si>
    <t>כתובת</t>
  </si>
  <si>
    <t>מנת טעימה</t>
  </si>
  <si>
    <t>מכתב אישי</t>
  </si>
  <si>
    <t>תאריך מסירה</t>
  </si>
  <si>
    <t>שלב במשפך</t>
  </si>
  <si>
    <t>שיחת מעקב</t>
  </si>
  <si>
    <t>הזמנה ראשונה</t>
  </si>
  <si>
    <t>נתון</t>
  </si>
  <si>
    <t>סכום</t>
  </si>
  <si>
    <t>תשלומים פתוחים לספקים</t>
  </si>
  <si>
    <t>הערות תזרים</t>
  </si>
  <si>
    <t>מזומן שהתקבל החודש</t>
  </si>
  <si>
    <t>הופקד לבנק</t>
  </si>
  <si>
    <t>צריך להפקיד</t>
  </si>
  <si>
    <t>מחזור לפי יומן</t>
  </si>
  <si>
    <t>בדיקת התאמה</t>
  </si>
  <si>
    <t>תאריך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</si>
</sst>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₪"/>
    <numFmt numFmtId="165" formatCode="#,##0\ \₪"/>
    <numFmt numFmtId="167" formatCode="&quot;₪&quot;\ #,##0.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1" fillId="2" borderId="0" xfId="0" applyNumberFormat="1" applyFont="1" applyFill="1"/>
    <xf numFmtId="165" fontId="1" fillId="2" borderId="0" xfId="0" applyNumberFormat="1" applyFont="1" applyFill="1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/>
    </xf>
    <xf numFmtId="0" fontId="3" fillId="3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7" fontId="1" fillId="2" borderId="0" xfId="0" applyNumberFormat="1" applyFont="1" applyFill="1" applyAlignment="1">
      <alignment horizontal="center" vertical="center" wrapText="1"/>
    </xf>
    <xf numFmtId="167" fontId="0" fillId="0" borderId="0" xfId="0" applyNumberFormat="1" applyAlignment="1">
      <alignment wrapText="1"/>
    </xf>
    <xf numFmtId="167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167" formatCode="&quot;₪&quot;\ #,##0.00"/>
    </dxf>
    <dxf>
      <numFmt numFmtId="167" formatCode="&quot;₪&quot;\ #,##0.00"/>
    </dxf>
    <dxf>
      <numFmt numFmtId="19" formatCode="dd/mm/yyyy"/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מחזור</c:v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marker>
              <c:symbol val="none"/>
            </c:marker>
            <c:bubble3D val="0"/>
            <c:spPr>
              <a:ln w="3492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8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8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8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8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marker>
              <c:symbol val="none"/>
            </c:marker>
            <c:bubble3D val="0"/>
            <c:spPr>
              <a:ln w="34925" cap="rnd">
                <a:solidFill>
                  <a:schemeClr val="accent5">
                    <a:lumMod val="8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8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27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marker>
              <c:symbol val="none"/>
            </c:marker>
            <c:bubble3D val="0"/>
            <c:spPr>
              <a:ln w="3492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29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dPt>
            <c:idx val="30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5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</c:dPt>
          <c:cat>
            <c:numRef>
              <c:f>גרפים!$A$2:$A$32</c:f>
              <c:numCache>
                <c:formatCode>m/d/yyyy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גרפים!$B$2:$B$32</c:f>
              <c:numCache>
                <c:formatCode>General</c:formatCode>
                <c:ptCount val="31"/>
                <c:pt idx="0">
                  <c:v>10627.08</c:v>
                </c:pt>
                <c:pt idx="1">
                  <c:v>7628.72</c:v>
                </c:pt>
                <c:pt idx="2">
                  <c:v>1600.1</c:v>
                </c:pt>
                <c:pt idx="3">
                  <c:v>1525.8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F3-4DF2-A45C-B04CDEBC5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19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Journal" displayName="tblJournal" ref="A1:U32">
  <tableColumns count="21">
    <tableColumn id="1" xr3:uid="{00000000-0010-0000-0000-000001000000}" name="תאריך לועזי" dataDxfId="0"/>
    <tableColumn id="2" xr3:uid="{00000000-0010-0000-0000-000002000000}" name="יום"/>
    <tableColumn id="3" xr3:uid="{00000000-0010-0000-0000-000003000000}" name="תאריך עברי"/>
    <tableColumn id="4" xr3:uid="{00000000-0010-0000-0000-000004000000}" name="אירוע / תקופה"/>
    <tableColumn id="5" xr3:uid="{00000000-0010-0000-0000-000005000000}" name="מחזור" dataDxfId="2"/>
    <tableColumn id="6" xr3:uid="{00000000-0010-0000-0000-000006000000}" name="מספר עסקאות"/>
    <tableColumn id="7" xr3:uid="{00000000-0010-0000-0000-000007000000}" name="ממוצע הזמנה" dataDxfId="1"/>
    <tableColumn id="8" xr3:uid="{00000000-0010-0000-0000-000008000000}" name="משלוחים"/>
    <tableColumn id="9" xr3:uid="{00000000-0010-0000-0000-000009000000}" name="איסוף עצמי"/>
    <tableColumn id="10" xr3:uid="{00000000-0010-0000-0000-00000A000000}" name="ישיבה במקום"/>
    <tableColumn id="11" xr3:uid="{00000000-0010-0000-0000-00000B000000}" name="מזומן שהתקבל"/>
    <tableColumn id="12" xr3:uid="{00000000-0010-0000-0000-00000C000000}" name="אשראי / קופה"/>
    <tableColumn id="13" xr3:uid="{00000000-0010-0000-0000-00000D000000}" name="תן ביס / סיבוס"/>
    <tableColumn id="14" xr3:uid="{00000000-0010-0000-0000-00000E000000}" name="וולט / משלוחה"/>
    <tableColumn id="15" xr3:uid="{00000000-0010-0000-0000-00000F000000}" name="אחר"/>
    <tableColumn id="16" xr3:uid="{00000000-0010-0000-0000-000010000000}" name="סה״כ אמצעי תשלום"/>
    <tableColumn id="17" xr3:uid="{00000000-0010-0000-0000-000011000000}" name="הפרש מול מחזור"/>
    <tableColumn id="18" xr3:uid="{00000000-0010-0000-0000-000012000000}" name="מזומן שהופקד לבנק"/>
    <tableColumn id="19" xr3:uid="{00000000-0010-0000-0000-000013000000}" name="מזומן שצריך להפקיד"/>
    <tableColumn id="20" xr3:uid="{00000000-0010-0000-0000-000014000000}" name="הפרש הפקדה"/>
    <tableColumn id="21" xr3:uid="{00000000-0010-0000-0000-000015000000}" name="הערו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alendar" displayName="tblCalendar" ref="A1:H550">
  <tableColumns count="8">
    <tableColumn id="1" xr3:uid="{00000000-0010-0000-0100-000001000000}" name="תאריך לועזי" dataDxfId="3"/>
    <tableColumn id="2" xr3:uid="{00000000-0010-0000-0100-000002000000}" name="יום"/>
    <tableColumn id="3" xr3:uid="{00000000-0010-0000-0100-000003000000}" name="תאריך עברי"/>
    <tableColumn id="4" xr3:uid="{00000000-0010-0000-0100-000004000000}" name="אירוע / תקופה"/>
    <tableColumn id="5" xr3:uid="{00000000-0010-0000-0100-000005000000}" name="חשיבות"/>
    <tableColumn id="6" xr3:uid="{00000000-0010-0000-0100-000006000000}" name="משימה עסקית מומלצת"/>
    <tableColumn id="7" xr3:uid="{00000000-0010-0000-0100-000007000000}" name="אחראי"/>
    <tableColumn id="8" xr3:uid="{00000000-0010-0000-0100-000008000000}" name="בוצע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sks" displayName="tblTasks" ref="A1:F100">
  <tableColumns count="6">
    <tableColumn id="1" xr3:uid="{00000000-0010-0000-0200-000001000000}" name="משימה"/>
    <tableColumn id="2" xr3:uid="{00000000-0010-0000-0200-000002000000}" name="תחום"/>
    <tableColumn id="3" xr3:uid="{00000000-0010-0000-0200-000003000000}" name="אחראי"/>
    <tableColumn id="4" xr3:uid="{00000000-0010-0000-0200-000004000000}" name="תאריך יעד"/>
    <tableColumn id="5" xr3:uid="{00000000-0010-0000-0200-000005000000}" name="סטטוס"/>
    <tableColumn id="6" xr3:uid="{00000000-0010-0000-0200-000006000000}" name="הערות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Leads" displayName="tblLeads" ref="A1:N101">
  <tableColumns count="14">
    <tableColumn id="1" xr3:uid="{00000000-0010-0000-0300-000001000000}" name="מס׳"/>
    <tableColumn id="2" xr3:uid="{00000000-0010-0000-0300-000002000000}" name="שם העסק / מוסד"/>
    <tableColumn id="3" xr3:uid="{00000000-0010-0000-0300-000003000000}" name="קטגוריה"/>
    <tableColumn id="4" xr3:uid="{00000000-0010-0000-0300-000004000000}" name="איש קשר"/>
    <tableColumn id="5" xr3:uid="{00000000-0010-0000-0300-000005000000}" name="תפקיד"/>
    <tableColumn id="6" xr3:uid="{00000000-0010-0000-0300-000006000000}" name="טלפון"/>
    <tableColumn id="7" xr3:uid="{00000000-0010-0000-0300-000007000000}" name="כתובת"/>
    <tableColumn id="8" xr3:uid="{00000000-0010-0000-0300-000008000000}" name="מנת טעימה"/>
    <tableColumn id="9" xr3:uid="{00000000-0010-0000-0300-000009000000}" name="מכתב אישי"/>
    <tableColumn id="10" xr3:uid="{00000000-0010-0000-0300-00000A000000}" name="תאריך מסירה"/>
    <tableColumn id="11" xr3:uid="{00000000-0010-0000-0300-00000B000000}" name="שלב במשפך"/>
    <tableColumn id="12" xr3:uid="{00000000-0010-0000-0300-00000C000000}" name="שיחת מעקב"/>
    <tableColumn id="13" xr3:uid="{00000000-0010-0000-0300-00000D000000}" name="הזמנה ראשונה"/>
    <tableColumn id="14" xr3:uid="{00000000-0010-0000-0300-00000E000000}" name="הערו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rightToLeft="1" workbookViewId="0">
      <selection activeCell="C16" sqref="C16"/>
    </sheetView>
  </sheetViews>
  <sheetFormatPr defaultRowHeight="14.25"/>
  <cols>
    <col min="1" max="8" width="20" customWidth="1"/>
  </cols>
  <sheetData>
    <row r="1" spans="1:8">
      <c r="A1" s="21" t="s">
        <v>0</v>
      </c>
      <c r="B1" s="22"/>
      <c r="C1" s="22"/>
      <c r="D1" s="22"/>
      <c r="E1" s="22"/>
      <c r="F1" s="22"/>
      <c r="G1" s="22"/>
      <c r="H1" s="22"/>
    </row>
    <row r="2" spans="1:8">
      <c r="A2" s="15"/>
      <c r="B2" s="15"/>
      <c r="C2" s="15"/>
      <c r="D2" s="15"/>
      <c r="E2" s="15"/>
      <c r="F2" s="15"/>
      <c r="G2" s="15"/>
      <c r="H2" s="15"/>
    </row>
    <row r="3" spans="1:8" ht="15">
      <c r="A3" s="16" t="s">
        <v>1</v>
      </c>
      <c r="B3" s="16" t="s">
        <v>2</v>
      </c>
      <c r="C3" s="16" t="s">
        <v>3</v>
      </c>
      <c r="D3" s="15"/>
      <c r="E3" s="23" t="s">
        <v>4</v>
      </c>
      <c r="F3" s="24"/>
      <c r="G3" s="24"/>
      <c r="H3" s="24"/>
    </row>
    <row r="4" spans="1:8">
      <c r="A4" s="15" t="s">
        <v>5</v>
      </c>
      <c r="B4" s="17">
        <v>210000</v>
      </c>
      <c r="C4" s="17">
        <f>SUM('יומן עסקי'!E2:E32)</f>
        <v>21381.699999999997</v>
      </c>
      <c r="D4" s="15"/>
      <c r="E4" s="14" t="s">
        <v>6</v>
      </c>
      <c r="F4" s="18">
        <f ca="1">TODAY()</f>
        <v>46208</v>
      </c>
      <c r="G4" s="15"/>
      <c r="H4" s="15"/>
    </row>
    <row r="5" spans="1:8">
      <c r="A5" s="15" t="s">
        <v>7</v>
      </c>
      <c r="B5" s="17"/>
      <c r="C5" s="17">
        <f>C4</f>
        <v>21381.699999999997</v>
      </c>
      <c r="D5" s="15"/>
      <c r="E5" s="14" t="s">
        <v>8</v>
      </c>
      <c r="F5" s="14" t="str">
        <f ca="1">IFERROR(VLOOKUP(TODAY(),'לוח שנה עסקי'!$A:$H,3,FALSE),"")</f>
        <v>כ׳ תמוז תשפ״ו</v>
      </c>
      <c r="G5" s="15"/>
      <c r="H5" s="15"/>
    </row>
    <row r="6" spans="1:8">
      <c r="A6" s="15" t="s">
        <v>9</v>
      </c>
      <c r="B6" s="17"/>
      <c r="C6" s="19">
        <f>COUNT('יומן עסקי'!E2:E32)</f>
        <v>4</v>
      </c>
      <c r="D6" s="15"/>
      <c r="E6" s="14" t="s">
        <v>10</v>
      </c>
      <c r="F6" s="14" t="str">
        <f ca="1">IFERROR(INDEX('לוח שנה עסקי'!$D:$D,MATCH(_xludf.MINIFS('לוח שנה עסקי'!$A:$A,'לוח שנה עסקי'!$A:$A,"&gt;="&amp;TODAY(),'לוח שנה עסקי'!$D:$D,"&lt;&gt;"),'לוח שנה עסקי'!$A:$A,0)),"אין אירוע קרוב")</f>
        <v>אין אירוע קרוב</v>
      </c>
      <c r="G6" s="15"/>
      <c r="H6" s="15"/>
    </row>
    <row r="7" spans="1:8">
      <c r="A7" s="15" t="s">
        <v>11</v>
      </c>
      <c r="B7" s="17"/>
      <c r="C7" s="17">
        <f>IF(C6=0,"",C4/C6)</f>
        <v>5345.4249999999993</v>
      </c>
      <c r="D7" s="15"/>
      <c r="E7" s="14" t="s">
        <v>12</v>
      </c>
      <c r="F7" s="14" t="str">
        <f ca="1">IFERROR(_xludf.MINIFS('לוח שנה עסקי'!$A:$A,'לוח שנה עסקי'!$A:$A,"&gt;="&amp;TODAY(),'לוח שנה עסקי'!$D:$D,"&lt;&gt;")-TODAY(),"")</f>
        <v/>
      </c>
      <c r="G7" s="15"/>
      <c r="H7" s="15"/>
    </row>
    <row r="8" spans="1:8">
      <c r="A8" s="15" t="s">
        <v>13</v>
      </c>
      <c r="B8" s="17"/>
      <c r="C8" s="17">
        <f>IF(C6=0,"",C7*30)</f>
        <v>160362.74999999997</v>
      </c>
      <c r="D8" s="15"/>
      <c r="E8" s="14" t="s">
        <v>14</v>
      </c>
      <c r="F8" s="14" t="str">
        <f ca="1">IFERROR(INDEX('לוח שנה עסקי'!$F:$F,MATCH(_xludf.MINIFS('לוח שנה עסקי'!$A:$A,'לוח שנה עסקי'!$A:$A,"&gt;="&amp;TODAY(),'לוח שנה עסקי'!$D:$D,"&lt;&gt;"),'לוח שנה עסקי'!$A:$A,0)),"")</f>
        <v/>
      </c>
      <c r="G8" s="15"/>
      <c r="H8" s="15"/>
    </row>
    <row r="9" spans="1:8">
      <c r="A9" s="15" t="s">
        <v>15</v>
      </c>
      <c r="B9" s="17"/>
      <c r="C9" s="19">
        <f>SUM('יומן עסקי'!F2:F32)</f>
        <v>166</v>
      </c>
      <c r="D9" s="15"/>
      <c r="E9" s="14" t="s">
        <v>16</v>
      </c>
      <c r="F9" s="14" t="str">
        <f ca="1">IFERROR(INDEX('לוח שנה עסקי'!$G:$G,MATCH(_xludf.MINIFS('לוח שנה עסקי'!$A:$A,'לוח שנה עסקי'!$A:$A,"&gt;="&amp;TODAY(),'לוח שנה עסקי'!$D:$D,"&lt;&gt;"),'לוח שנה עסקי'!$A:$A,0)),"")</f>
        <v/>
      </c>
      <c r="G9" s="15"/>
      <c r="H9" s="15"/>
    </row>
    <row r="10" spans="1:8">
      <c r="A10" s="15" t="s">
        <v>17</v>
      </c>
      <c r="B10" s="17">
        <v>90</v>
      </c>
      <c r="C10" s="19">
        <f>IF(C9=0,"",C4/C9)</f>
        <v>128.80542168674697</v>
      </c>
      <c r="D10" s="15"/>
      <c r="E10" s="14" t="s">
        <v>18</v>
      </c>
      <c r="F10" s="14" t="str">
        <f ca="1">IFERROR(INDEX('לוח שנה עסקי'!$H:$H,MATCH(_xludf.MINIFS('לוח שנה עסקי'!$A:$A,'לוח שנה עסקי'!$A:$A,"&gt;="&amp;TODAY(),'לוח שנה עסקי'!$D:$D,"&lt;&gt;"),'לוח שנה עסקי'!$A:$A,0)),"")</f>
        <v/>
      </c>
      <c r="G10" s="15"/>
      <c r="H10" s="15"/>
    </row>
    <row r="11" spans="1:8">
      <c r="A11" s="15" t="s">
        <v>19</v>
      </c>
      <c r="B11" s="17"/>
      <c r="C11" s="19">
        <f>SUM('יומן עסקי'!H2:H32)</f>
        <v>21</v>
      </c>
      <c r="D11" s="15"/>
      <c r="E11" s="15"/>
      <c r="F11" s="15"/>
      <c r="G11" s="15"/>
      <c r="H11" s="15"/>
    </row>
    <row r="12" spans="1:8">
      <c r="A12" s="15" t="s">
        <v>20</v>
      </c>
      <c r="B12" s="17"/>
      <c r="C12" s="19">
        <f>SUM('יומן עסקי'!I2:I32)</f>
        <v>13</v>
      </c>
      <c r="D12" s="15"/>
      <c r="E12" s="15"/>
      <c r="F12" s="15"/>
      <c r="G12" s="15"/>
      <c r="H12" s="15"/>
    </row>
    <row r="13" spans="1:8" ht="15">
      <c r="A13" s="15" t="s">
        <v>21</v>
      </c>
      <c r="B13" s="17"/>
      <c r="C13" s="17">
        <f>SUM('יומן עסקי'!J2:J32)</f>
        <v>147</v>
      </c>
      <c r="D13" s="15"/>
      <c r="E13" s="23" t="s">
        <v>22</v>
      </c>
      <c r="F13" s="24"/>
      <c r="G13" s="24"/>
      <c r="H13" s="24"/>
    </row>
    <row r="14" spans="1:8">
      <c r="A14" s="15" t="s">
        <v>23</v>
      </c>
      <c r="B14" s="17"/>
      <c r="C14" s="17">
        <v>0</v>
      </c>
      <c r="D14" s="15"/>
      <c r="E14" s="15" t="s">
        <v>24</v>
      </c>
      <c r="F14" s="15">
        <f>COUNTIF(משימות!E2:E100,"בתהליך")</f>
        <v>1</v>
      </c>
      <c r="G14" s="15"/>
      <c r="H14" s="15"/>
    </row>
    <row r="15" spans="1:8">
      <c r="A15" s="15" t="s">
        <v>25</v>
      </c>
      <c r="B15" s="17"/>
      <c r="C15" s="17">
        <v>0</v>
      </c>
      <c r="D15" s="15"/>
      <c r="E15" s="15" t="s">
        <v>26</v>
      </c>
      <c r="F15" s="15">
        <f>COUNTIF(משימות!E2:E100,"תקוע")</f>
        <v>0</v>
      </c>
      <c r="G15" s="15"/>
      <c r="H15" s="15"/>
    </row>
    <row r="16" spans="1:8">
      <c r="A16" s="15"/>
      <c r="B16" s="15"/>
      <c r="C16" s="15"/>
      <c r="D16" s="15"/>
      <c r="E16" s="15" t="s">
        <v>27</v>
      </c>
      <c r="F16" s="15">
        <f>COUNTA('לקוחות פוטנציאליים'!B2:B101)</f>
        <v>0</v>
      </c>
      <c r="G16" s="15"/>
      <c r="H16" s="15"/>
    </row>
    <row r="17" spans="1:8" ht="15">
      <c r="A17" s="23" t="s">
        <v>28</v>
      </c>
      <c r="B17" s="24"/>
      <c r="C17" s="24"/>
      <c r="D17" s="15"/>
      <c r="E17" s="15" t="s">
        <v>29</v>
      </c>
      <c r="F17" s="15">
        <f>COUNTIF('לקוחות פוטנציאליים'!K2:K101,"4-הזמנה ראשונה")</f>
        <v>0</v>
      </c>
      <c r="G17" s="15"/>
      <c r="H17" s="15"/>
    </row>
    <row r="18" spans="1:8" ht="15">
      <c r="A18" s="20" t="s">
        <v>1</v>
      </c>
      <c r="B18" s="20" t="s">
        <v>30</v>
      </c>
      <c r="C18" s="20" t="s">
        <v>3</v>
      </c>
      <c r="D18" s="15"/>
      <c r="E18" s="15" t="s">
        <v>31</v>
      </c>
      <c r="F18" s="15">
        <f>COUNTIF('לקוחות פוטנציאליים'!K2:K101,"5-לקוח קבוע")</f>
        <v>0</v>
      </c>
      <c r="G18" s="15"/>
      <c r="H18" s="15"/>
    </row>
    <row r="19" spans="1:8">
      <c r="A19" s="15" t="s">
        <v>32</v>
      </c>
      <c r="B19" s="15"/>
      <c r="C19" s="17">
        <f>SUM('יומן עסקי'!K2:K32)</f>
        <v>0</v>
      </c>
      <c r="D19" s="15"/>
      <c r="E19" s="15"/>
      <c r="F19" s="15"/>
      <c r="G19" s="15"/>
      <c r="H19" s="15"/>
    </row>
    <row r="20" spans="1:8">
      <c r="A20" s="15" t="s">
        <v>33</v>
      </c>
      <c r="B20" s="15"/>
      <c r="C20" s="17">
        <f>SUM('יומן עסקי'!L2:L32)</f>
        <v>0</v>
      </c>
      <c r="D20" s="15"/>
      <c r="E20" s="15"/>
      <c r="F20" s="15"/>
      <c r="G20" s="15"/>
      <c r="H20" s="15"/>
    </row>
    <row r="21" spans="1:8">
      <c r="A21" s="15" t="s">
        <v>34</v>
      </c>
      <c r="B21" s="15"/>
      <c r="C21" s="17">
        <f>SUM('יומן עסקי'!M2:M32)</f>
        <v>0</v>
      </c>
      <c r="D21" s="15"/>
      <c r="E21" s="15"/>
      <c r="F21" s="15"/>
      <c r="G21" s="15"/>
      <c r="H21" s="15"/>
    </row>
    <row r="22" spans="1:8">
      <c r="A22" s="15" t="s">
        <v>35</v>
      </c>
      <c r="B22" s="15"/>
      <c r="C22" s="17">
        <f>SUM('יומן עסקי'!N2:N32)</f>
        <v>0</v>
      </c>
      <c r="D22" s="15"/>
      <c r="E22" s="15"/>
      <c r="F22" s="15"/>
      <c r="G22" s="15"/>
      <c r="H22" s="15"/>
    </row>
    <row r="23" spans="1:8">
      <c r="A23" s="15" t="s">
        <v>36</v>
      </c>
      <c r="B23" s="15"/>
      <c r="C23" s="17">
        <f>SUM('יומן עסקי'!O2:O32)</f>
        <v>0</v>
      </c>
      <c r="D23" s="15"/>
      <c r="E23" s="15"/>
      <c r="F23" s="15"/>
      <c r="G23" s="15"/>
      <c r="H23" s="15"/>
    </row>
    <row r="24" spans="1:8">
      <c r="A24" s="15" t="s">
        <v>37</v>
      </c>
      <c r="B24" s="15" t="s">
        <v>38</v>
      </c>
      <c r="C24" s="17">
        <f>SUM('יומן עסקי'!P2:P32)</f>
        <v>0</v>
      </c>
      <c r="D24" s="15"/>
      <c r="E24" s="15"/>
      <c r="F24" s="15"/>
      <c r="G24" s="15"/>
      <c r="H24" s="15"/>
    </row>
    <row r="25" spans="1:8">
      <c r="A25" s="15" t="s">
        <v>39</v>
      </c>
      <c r="B25" s="15" t="s">
        <v>40</v>
      </c>
      <c r="C25" s="17">
        <f>SUM('יומן עסקי'!Q2:Q32)</f>
        <v>0</v>
      </c>
      <c r="D25" s="15"/>
      <c r="E25" s="15"/>
      <c r="F25" s="15"/>
      <c r="G25" s="15"/>
      <c r="H25" s="15"/>
    </row>
    <row r="26" spans="1:8">
      <c r="A26" s="15" t="s">
        <v>41</v>
      </c>
      <c r="B26" s="15"/>
      <c r="C26" s="17">
        <f>SUM('יומן עסקי'!R2:R32)</f>
        <v>0</v>
      </c>
      <c r="D26" s="15"/>
      <c r="E26" s="15"/>
      <c r="F26" s="15"/>
      <c r="G26" s="15"/>
      <c r="H26" s="15"/>
    </row>
    <row r="27" spans="1:8">
      <c r="A27" s="15" t="s">
        <v>42</v>
      </c>
      <c r="B27" s="15" t="s">
        <v>43</v>
      </c>
      <c r="C27" s="17">
        <f>SUM('יומן עסקי'!S2:S32)</f>
        <v>0</v>
      </c>
      <c r="D27" s="15"/>
      <c r="E27" s="15"/>
      <c r="F27" s="15"/>
      <c r="G27" s="15"/>
      <c r="H27" s="15"/>
    </row>
  </sheetData>
  <mergeCells count="4">
    <mergeCell ref="A1:H1"/>
    <mergeCell ref="E3:H3"/>
    <mergeCell ref="A17:C17"/>
    <mergeCell ref="E13:H13"/>
  </mergeCells>
  <conditionalFormatting sqref="C25">
    <cfRule type="expression" dxfId="7" priority="1">
      <formula>ABS(C25)&gt;1</formula>
    </cfRule>
  </conditionalFormatting>
  <conditionalFormatting sqref="C27">
    <cfRule type="expression" dxfId="6" priority="2">
      <formula>C27&gt;0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rightToLeft="1" tabSelected="1" workbookViewId="0">
      <selection sqref="A1:A1048576"/>
    </sheetView>
  </sheetViews>
  <sheetFormatPr defaultRowHeight="14.25"/>
  <cols>
    <col min="1" max="1" width="15" style="12" customWidth="1"/>
    <col min="2" max="4" width="15" customWidth="1"/>
    <col min="5" max="5" width="15" style="27" customWidth="1"/>
    <col min="6" max="6" width="15" customWidth="1"/>
    <col min="7" max="7" width="15" style="27" customWidth="1"/>
    <col min="8" max="20" width="15" customWidth="1"/>
    <col min="21" max="21" width="28" customWidth="1"/>
  </cols>
  <sheetData>
    <row r="1" spans="1:21" ht="30">
      <c r="A1" s="3" t="s">
        <v>44</v>
      </c>
      <c r="B1" s="2" t="s">
        <v>45</v>
      </c>
      <c r="C1" s="2" t="s">
        <v>8</v>
      </c>
      <c r="D1" s="2" t="s">
        <v>46</v>
      </c>
      <c r="E1" s="25" t="s">
        <v>47</v>
      </c>
      <c r="F1" s="5" t="s">
        <v>15</v>
      </c>
      <c r="G1" s="25" t="s">
        <v>17</v>
      </c>
      <c r="H1" s="5" t="s">
        <v>19</v>
      </c>
      <c r="I1" s="5" t="s">
        <v>20</v>
      </c>
      <c r="J1" s="5" t="s">
        <v>21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39</v>
      </c>
      <c r="R1" s="4" t="s">
        <v>41</v>
      </c>
      <c r="S1" s="4" t="s">
        <v>42</v>
      </c>
      <c r="T1" s="4" t="s">
        <v>48</v>
      </c>
      <c r="U1" s="2" t="s">
        <v>49</v>
      </c>
    </row>
    <row r="2" spans="1:21">
      <c r="A2" s="13">
        <v>46204</v>
      </c>
      <c r="B2" s="6" t="s">
        <v>50</v>
      </c>
      <c r="C2" s="6" t="s">
        <v>51</v>
      </c>
      <c r="D2" s="6"/>
      <c r="E2" s="26">
        <v>10627.08</v>
      </c>
      <c r="F2" s="6">
        <v>73</v>
      </c>
      <c r="G2" s="26">
        <f t="shared" ref="G2:G32" si="0">IF(OR(E2="",F2=""),"",E2/F2)</f>
        <v>145.57643835616437</v>
      </c>
      <c r="H2" s="6">
        <v>8</v>
      </c>
      <c r="I2" s="6">
        <v>9</v>
      </c>
      <c r="J2" s="6">
        <v>58</v>
      </c>
      <c r="K2" s="6"/>
      <c r="L2" s="6"/>
      <c r="M2" s="6"/>
      <c r="N2" s="6"/>
      <c r="O2" s="6"/>
      <c r="P2" s="6" t="str">
        <f t="shared" ref="P2:P32" si="1">IF(COUNTA(K2:O2)=0,"",SUM(K2:O2))</f>
        <v/>
      </c>
      <c r="Q2" s="6" t="str">
        <f t="shared" ref="Q2:Q32" si="2">IF(OR(E2="",P2=""),"",P2-E2)</f>
        <v/>
      </c>
      <c r="R2" s="6"/>
      <c r="S2" s="6" t="str">
        <f t="shared" ref="S2:S32" si="3">IF(K2="","",K2-R2)</f>
        <v/>
      </c>
      <c r="T2" s="6" t="str">
        <f t="shared" ref="T2:T32" si="4">IF(OR(K2="",R2=""),"",R2-K2)</f>
        <v/>
      </c>
      <c r="U2" s="6"/>
    </row>
    <row r="3" spans="1:21">
      <c r="A3" s="13">
        <v>46205</v>
      </c>
      <c r="B3" s="6" t="s">
        <v>52</v>
      </c>
      <c r="C3" s="6" t="s">
        <v>53</v>
      </c>
      <c r="D3" s="6" t="s">
        <v>54</v>
      </c>
      <c r="E3" s="26">
        <v>7628.72</v>
      </c>
      <c r="F3" s="6">
        <v>67</v>
      </c>
      <c r="G3" s="26">
        <f t="shared" si="0"/>
        <v>113.86149253731344</v>
      </c>
      <c r="H3" s="6">
        <v>11</v>
      </c>
      <c r="I3" s="6">
        <v>2</v>
      </c>
      <c r="J3" s="6">
        <v>54</v>
      </c>
      <c r="K3" s="6"/>
      <c r="L3" s="6"/>
      <c r="M3" s="6"/>
      <c r="N3" s="6"/>
      <c r="O3" s="6"/>
      <c r="P3" s="6" t="str">
        <f t="shared" si="1"/>
        <v/>
      </c>
      <c r="Q3" s="6" t="str">
        <f t="shared" si="2"/>
        <v/>
      </c>
      <c r="R3" s="6"/>
      <c r="S3" s="6" t="str">
        <f t="shared" si="3"/>
        <v/>
      </c>
      <c r="T3" s="6" t="str">
        <f t="shared" si="4"/>
        <v/>
      </c>
      <c r="U3" s="6" t="s">
        <v>55</v>
      </c>
    </row>
    <row r="4" spans="1:21">
      <c r="A4" s="13">
        <v>46206</v>
      </c>
      <c r="B4" s="6" t="s">
        <v>56</v>
      </c>
      <c r="C4" s="6" t="s">
        <v>57</v>
      </c>
      <c r="D4" s="6" t="s">
        <v>54</v>
      </c>
      <c r="E4" s="26">
        <v>1600.1</v>
      </c>
      <c r="F4" s="6">
        <v>12</v>
      </c>
      <c r="G4" s="26">
        <f t="shared" si="0"/>
        <v>133.34166666666667</v>
      </c>
      <c r="H4" s="6"/>
      <c r="I4" s="6">
        <v>1</v>
      </c>
      <c r="J4" s="6">
        <v>16</v>
      </c>
      <c r="K4" s="6"/>
      <c r="L4" s="6"/>
      <c r="M4" s="6"/>
      <c r="N4" s="6"/>
      <c r="O4" s="6"/>
      <c r="P4" s="6" t="str">
        <f t="shared" si="1"/>
        <v/>
      </c>
      <c r="Q4" s="6" t="str">
        <f t="shared" si="2"/>
        <v/>
      </c>
      <c r="R4" s="6"/>
      <c r="S4" s="6" t="str">
        <f t="shared" si="3"/>
        <v/>
      </c>
      <c r="T4" s="6" t="str">
        <f t="shared" si="4"/>
        <v/>
      </c>
      <c r="U4" s="6" t="s">
        <v>58</v>
      </c>
    </row>
    <row r="5" spans="1:21">
      <c r="A5" s="13">
        <v>46207</v>
      </c>
      <c r="B5" s="6" t="s">
        <v>59</v>
      </c>
      <c r="C5" s="6" t="s">
        <v>60</v>
      </c>
      <c r="D5" s="6" t="s">
        <v>54</v>
      </c>
      <c r="E5" s="26">
        <v>1525.8</v>
      </c>
      <c r="F5" s="6">
        <v>14</v>
      </c>
      <c r="G5" s="26">
        <f t="shared" si="0"/>
        <v>108.98571428571428</v>
      </c>
      <c r="H5" s="6">
        <v>2</v>
      </c>
      <c r="I5" s="6">
        <v>1</v>
      </c>
      <c r="J5" s="6">
        <v>19</v>
      </c>
      <c r="K5" s="6"/>
      <c r="L5" s="6"/>
      <c r="M5" s="6"/>
      <c r="N5" s="6"/>
      <c r="O5" s="6"/>
      <c r="P5" s="6" t="str">
        <f t="shared" si="1"/>
        <v/>
      </c>
      <c r="Q5" s="6" t="str">
        <f t="shared" si="2"/>
        <v/>
      </c>
      <c r="R5" s="6"/>
      <c r="S5" s="6" t="str">
        <f t="shared" si="3"/>
        <v/>
      </c>
      <c r="T5" s="6" t="str">
        <f t="shared" si="4"/>
        <v/>
      </c>
      <c r="U5" s="6" t="s">
        <v>61</v>
      </c>
    </row>
    <row r="6" spans="1:21">
      <c r="A6" s="13">
        <v>46208</v>
      </c>
      <c r="B6" s="6" t="s">
        <v>62</v>
      </c>
      <c r="C6" s="6" t="s">
        <v>63</v>
      </c>
      <c r="D6" s="6" t="s">
        <v>54</v>
      </c>
      <c r="E6" s="26"/>
      <c r="F6" s="6"/>
      <c r="G6" s="26" t="str">
        <f t="shared" si="0"/>
        <v/>
      </c>
      <c r="H6" s="6"/>
      <c r="I6" s="6"/>
      <c r="J6" s="6"/>
      <c r="K6" s="6"/>
      <c r="L6" s="6"/>
      <c r="M6" s="6"/>
      <c r="N6" s="6"/>
      <c r="O6" s="6"/>
      <c r="P6" s="6" t="str">
        <f t="shared" si="1"/>
        <v/>
      </c>
      <c r="Q6" s="6" t="str">
        <f t="shared" si="2"/>
        <v/>
      </c>
      <c r="R6" s="6"/>
      <c r="S6" s="6" t="str">
        <f t="shared" si="3"/>
        <v/>
      </c>
      <c r="T6" s="6" t="str">
        <f t="shared" si="4"/>
        <v/>
      </c>
      <c r="U6" s="6"/>
    </row>
    <row r="7" spans="1:21">
      <c r="A7" s="13">
        <v>46209</v>
      </c>
      <c r="B7" s="6" t="s">
        <v>64</v>
      </c>
      <c r="C7" s="6" t="s">
        <v>65</v>
      </c>
      <c r="D7" s="6" t="s">
        <v>54</v>
      </c>
      <c r="E7" s="26"/>
      <c r="F7" s="6"/>
      <c r="G7" s="26" t="str">
        <f t="shared" si="0"/>
        <v/>
      </c>
      <c r="H7" s="6"/>
      <c r="I7" s="6"/>
      <c r="J7" s="6"/>
      <c r="K7" s="6"/>
      <c r="L7" s="6"/>
      <c r="M7" s="6"/>
      <c r="N7" s="6"/>
      <c r="O7" s="6"/>
      <c r="P7" s="6" t="str">
        <f t="shared" si="1"/>
        <v/>
      </c>
      <c r="Q7" s="6" t="str">
        <f t="shared" si="2"/>
        <v/>
      </c>
      <c r="R7" s="6"/>
      <c r="S7" s="6" t="str">
        <f t="shared" si="3"/>
        <v/>
      </c>
      <c r="T7" s="6" t="str">
        <f t="shared" si="4"/>
        <v/>
      </c>
      <c r="U7" s="6"/>
    </row>
    <row r="8" spans="1:21">
      <c r="A8" s="13">
        <v>46210</v>
      </c>
      <c r="B8" s="6" t="s">
        <v>66</v>
      </c>
      <c r="C8" s="6" t="s">
        <v>67</v>
      </c>
      <c r="D8" s="6" t="s">
        <v>54</v>
      </c>
      <c r="E8" s="26"/>
      <c r="F8" s="6"/>
      <c r="G8" s="26" t="str">
        <f t="shared" si="0"/>
        <v/>
      </c>
      <c r="H8" s="6"/>
      <c r="I8" s="6"/>
      <c r="J8" s="6"/>
      <c r="K8" s="6"/>
      <c r="L8" s="6"/>
      <c r="M8" s="6"/>
      <c r="N8" s="6"/>
      <c r="O8" s="6"/>
      <c r="P8" s="6" t="str">
        <f t="shared" si="1"/>
        <v/>
      </c>
      <c r="Q8" s="6" t="str">
        <f t="shared" si="2"/>
        <v/>
      </c>
      <c r="R8" s="6"/>
      <c r="S8" s="6" t="str">
        <f t="shared" si="3"/>
        <v/>
      </c>
      <c r="T8" s="6" t="str">
        <f t="shared" si="4"/>
        <v/>
      </c>
      <c r="U8" s="6"/>
    </row>
    <row r="9" spans="1:21">
      <c r="A9" s="13">
        <v>46211</v>
      </c>
      <c r="B9" s="6" t="s">
        <v>50</v>
      </c>
      <c r="C9" s="6" t="s">
        <v>68</v>
      </c>
      <c r="D9" s="6" t="s">
        <v>54</v>
      </c>
      <c r="E9" s="26"/>
      <c r="F9" s="6"/>
      <c r="G9" s="26" t="str">
        <f t="shared" si="0"/>
        <v/>
      </c>
      <c r="H9" s="6"/>
      <c r="I9" s="6"/>
      <c r="J9" s="6"/>
      <c r="K9" s="6"/>
      <c r="L9" s="6"/>
      <c r="M9" s="6"/>
      <c r="N9" s="6"/>
      <c r="O9" s="6"/>
      <c r="P9" s="6" t="str">
        <f t="shared" si="1"/>
        <v/>
      </c>
      <c r="Q9" s="6" t="str">
        <f t="shared" si="2"/>
        <v/>
      </c>
      <c r="R9" s="6"/>
      <c r="S9" s="6" t="str">
        <f t="shared" si="3"/>
        <v/>
      </c>
      <c r="T9" s="6" t="str">
        <f t="shared" si="4"/>
        <v/>
      </c>
      <c r="U9" s="6"/>
    </row>
    <row r="10" spans="1:21">
      <c r="A10" s="13">
        <v>46212</v>
      </c>
      <c r="B10" s="6" t="s">
        <v>52</v>
      </c>
      <c r="C10" s="6" t="s">
        <v>69</v>
      </c>
      <c r="D10" s="6" t="s">
        <v>54</v>
      </c>
      <c r="E10" s="26"/>
      <c r="F10" s="6"/>
      <c r="G10" s="26" t="str">
        <f t="shared" si="0"/>
        <v/>
      </c>
      <c r="H10" s="6"/>
      <c r="I10" s="6"/>
      <c r="J10" s="6"/>
      <c r="K10" s="6"/>
      <c r="L10" s="6"/>
      <c r="M10" s="6"/>
      <c r="N10" s="6"/>
      <c r="O10" s="6"/>
      <c r="P10" s="6" t="str">
        <f t="shared" si="1"/>
        <v/>
      </c>
      <c r="Q10" s="6" t="str">
        <f t="shared" si="2"/>
        <v/>
      </c>
      <c r="R10" s="6"/>
      <c r="S10" s="6" t="str">
        <f t="shared" si="3"/>
        <v/>
      </c>
      <c r="T10" s="6" t="str">
        <f t="shared" si="4"/>
        <v/>
      </c>
      <c r="U10" s="6"/>
    </row>
    <row r="11" spans="1:21">
      <c r="A11" s="13">
        <v>46213</v>
      </c>
      <c r="B11" s="6" t="s">
        <v>56</v>
      </c>
      <c r="C11" s="6" t="s">
        <v>70</v>
      </c>
      <c r="D11" s="6" t="s">
        <v>54</v>
      </c>
      <c r="E11" s="26"/>
      <c r="F11" s="6"/>
      <c r="G11" s="26" t="str">
        <f t="shared" si="0"/>
        <v/>
      </c>
      <c r="H11" s="6"/>
      <c r="I11" s="6"/>
      <c r="J11" s="6"/>
      <c r="K11" s="6"/>
      <c r="L11" s="6"/>
      <c r="M11" s="6"/>
      <c r="N11" s="6"/>
      <c r="O11" s="6"/>
      <c r="P11" s="6" t="str">
        <f t="shared" si="1"/>
        <v/>
      </c>
      <c r="Q11" s="6" t="str">
        <f t="shared" si="2"/>
        <v/>
      </c>
      <c r="R11" s="6"/>
      <c r="S11" s="6" t="str">
        <f t="shared" si="3"/>
        <v/>
      </c>
      <c r="T11" s="6" t="str">
        <f t="shared" si="4"/>
        <v/>
      </c>
      <c r="U11" s="6"/>
    </row>
    <row r="12" spans="1:21">
      <c r="A12" s="13">
        <v>46214</v>
      </c>
      <c r="B12" s="6" t="s">
        <v>59</v>
      </c>
      <c r="C12" s="6" t="s">
        <v>71</v>
      </c>
      <c r="D12" s="6" t="s">
        <v>54</v>
      </c>
      <c r="E12" s="26"/>
      <c r="F12" s="6"/>
      <c r="G12" s="26" t="str">
        <f t="shared" si="0"/>
        <v/>
      </c>
      <c r="H12" s="6"/>
      <c r="I12" s="6"/>
      <c r="J12" s="6"/>
      <c r="K12" s="6"/>
      <c r="L12" s="6"/>
      <c r="M12" s="6"/>
      <c r="N12" s="6"/>
      <c r="O12" s="6"/>
      <c r="P12" s="6" t="str">
        <f t="shared" si="1"/>
        <v/>
      </c>
      <c r="Q12" s="6" t="str">
        <f t="shared" si="2"/>
        <v/>
      </c>
      <c r="R12" s="6"/>
      <c r="S12" s="6" t="str">
        <f t="shared" si="3"/>
        <v/>
      </c>
      <c r="T12" s="6" t="str">
        <f t="shared" si="4"/>
        <v/>
      </c>
      <c r="U12" s="6"/>
    </row>
    <row r="13" spans="1:21">
      <c r="A13" s="13">
        <v>46215</v>
      </c>
      <c r="B13" s="6" t="s">
        <v>62</v>
      </c>
      <c r="C13" s="6" t="s">
        <v>72</v>
      </c>
      <c r="D13" s="6" t="s">
        <v>54</v>
      </c>
      <c r="E13" s="26"/>
      <c r="F13" s="6"/>
      <c r="G13" s="26" t="str">
        <f t="shared" si="0"/>
        <v/>
      </c>
      <c r="H13" s="6"/>
      <c r="I13" s="6"/>
      <c r="J13" s="6"/>
      <c r="K13" s="6"/>
      <c r="L13" s="6"/>
      <c r="M13" s="6"/>
      <c r="N13" s="6"/>
      <c r="O13" s="6"/>
      <c r="P13" s="6" t="str">
        <f t="shared" si="1"/>
        <v/>
      </c>
      <c r="Q13" s="6" t="str">
        <f t="shared" si="2"/>
        <v/>
      </c>
      <c r="R13" s="6"/>
      <c r="S13" s="6" t="str">
        <f t="shared" si="3"/>
        <v/>
      </c>
      <c r="T13" s="6" t="str">
        <f t="shared" si="4"/>
        <v/>
      </c>
      <c r="U13" s="6"/>
    </row>
    <row r="14" spans="1:21">
      <c r="A14" s="13">
        <v>46216</v>
      </c>
      <c r="B14" s="6" t="s">
        <v>64</v>
      </c>
      <c r="C14" s="6" t="s">
        <v>73</v>
      </c>
      <c r="D14" s="6" t="s">
        <v>54</v>
      </c>
      <c r="E14" s="26"/>
      <c r="F14" s="6"/>
      <c r="G14" s="26" t="str">
        <f t="shared" si="0"/>
        <v/>
      </c>
      <c r="H14" s="6"/>
      <c r="I14" s="6"/>
      <c r="J14" s="6"/>
      <c r="K14" s="6"/>
      <c r="L14" s="6"/>
      <c r="M14" s="6"/>
      <c r="N14" s="6"/>
      <c r="O14" s="6"/>
      <c r="P14" s="6" t="str">
        <f t="shared" si="1"/>
        <v/>
      </c>
      <c r="Q14" s="6" t="str">
        <f t="shared" si="2"/>
        <v/>
      </c>
      <c r="R14" s="6"/>
      <c r="S14" s="6" t="str">
        <f t="shared" si="3"/>
        <v/>
      </c>
      <c r="T14" s="6" t="str">
        <f t="shared" si="4"/>
        <v/>
      </c>
      <c r="U14" s="6"/>
    </row>
    <row r="15" spans="1:21">
      <c r="A15" s="13">
        <v>46217</v>
      </c>
      <c r="B15" s="6" t="s">
        <v>66</v>
      </c>
      <c r="C15" s="6" t="s">
        <v>74</v>
      </c>
      <c r="D15" s="6" t="s">
        <v>54</v>
      </c>
      <c r="E15" s="26"/>
      <c r="F15" s="6"/>
      <c r="G15" s="26" t="str">
        <f t="shared" si="0"/>
        <v/>
      </c>
      <c r="H15" s="6"/>
      <c r="I15" s="6"/>
      <c r="J15" s="6"/>
      <c r="K15" s="6"/>
      <c r="L15" s="6"/>
      <c r="M15" s="6"/>
      <c r="N15" s="6"/>
      <c r="O15" s="6"/>
      <c r="P15" s="6" t="str">
        <f t="shared" si="1"/>
        <v/>
      </c>
      <c r="Q15" s="6" t="str">
        <f t="shared" si="2"/>
        <v/>
      </c>
      <c r="R15" s="6"/>
      <c r="S15" s="6" t="str">
        <f t="shared" si="3"/>
        <v/>
      </c>
      <c r="T15" s="6" t="str">
        <f t="shared" si="4"/>
        <v/>
      </c>
      <c r="U15" s="6"/>
    </row>
    <row r="16" spans="1:21">
      <c r="A16" s="13">
        <v>46218</v>
      </c>
      <c r="B16" s="6" t="s">
        <v>50</v>
      </c>
      <c r="C16" s="6" t="s">
        <v>75</v>
      </c>
      <c r="D16" s="6" t="s">
        <v>76</v>
      </c>
      <c r="E16" s="26"/>
      <c r="F16" s="6"/>
      <c r="G16" s="26" t="str">
        <f t="shared" si="0"/>
        <v/>
      </c>
      <c r="H16" s="6"/>
      <c r="I16" s="6"/>
      <c r="J16" s="6"/>
      <c r="K16" s="6"/>
      <c r="L16" s="6"/>
      <c r="M16" s="6"/>
      <c r="N16" s="6"/>
      <c r="O16" s="6"/>
      <c r="P16" s="6" t="str">
        <f t="shared" si="1"/>
        <v/>
      </c>
      <c r="Q16" s="6" t="str">
        <f t="shared" si="2"/>
        <v/>
      </c>
      <c r="R16" s="6"/>
      <c r="S16" s="6" t="str">
        <f t="shared" si="3"/>
        <v/>
      </c>
      <c r="T16" s="6" t="str">
        <f t="shared" si="4"/>
        <v/>
      </c>
      <c r="U16" s="6"/>
    </row>
    <row r="17" spans="1:21">
      <c r="A17" s="13">
        <v>46219</v>
      </c>
      <c r="B17" s="6" t="s">
        <v>52</v>
      </c>
      <c r="C17" s="6" t="s">
        <v>77</v>
      </c>
      <c r="D17" s="6" t="s">
        <v>76</v>
      </c>
      <c r="E17" s="26"/>
      <c r="F17" s="6"/>
      <c r="G17" s="26" t="str">
        <f t="shared" si="0"/>
        <v/>
      </c>
      <c r="H17" s="6"/>
      <c r="I17" s="6"/>
      <c r="J17" s="6"/>
      <c r="K17" s="6"/>
      <c r="L17" s="6"/>
      <c r="M17" s="6"/>
      <c r="N17" s="6"/>
      <c r="O17" s="6"/>
      <c r="P17" s="6" t="str">
        <f t="shared" si="1"/>
        <v/>
      </c>
      <c r="Q17" s="6" t="str">
        <f t="shared" si="2"/>
        <v/>
      </c>
      <c r="R17" s="6"/>
      <c r="S17" s="6" t="str">
        <f t="shared" si="3"/>
        <v/>
      </c>
      <c r="T17" s="6" t="str">
        <f t="shared" si="4"/>
        <v/>
      </c>
      <c r="U17" s="6"/>
    </row>
    <row r="18" spans="1:21">
      <c r="A18" s="13">
        <v>46220</v>
      </c>
      <c r="B18" s="6" t="s">
        <v>56</v>
      </c>
      <c r="C18" s="6" t="s">
        <v>78</v>
      </c>
      <c r="D18" s="6" t="s">
        <v>76</v>
      </c>
      <c r="E18" s="26"/>
      <c r="F18" s="6"/>
      <c r="G18" s="26" t="str">
        <f t="shared" si="0"/>
        <v/>
      </c>
      <c r="H18" s="6"/>
      <c r="I18" s="6"/>
      <c r="J18" s="6"/>
      <c r="K18" s="6"/>
      <c r="L18" s="6"/>
      <c r="M18" s="6"/>
      <c r="N18" s="6"/>
      <c r="O18" s="6"/>
      <c r="P18" s="6" t="str">
        <f t="shared" si="1"/>
        <v/>
      </c>
      <c r="Q18" s="6" t="str">
        <f t="shared" si="2"/>
        <v/>
      </c>
      <c r="R18" s="6"/>
      <c r="S18" s="6" t="str">
        <f t="shared" si="3"/>
        <v/>
      </c>
      <c r="T18" s="6" t="str">
        <f t="shared" si="4"/>
        <v/>
      </c>
      <c r="U18" s="6"/>
    </row>
    <row r="19" spans="1:21">
      <c r="A19" s="13">
        <v>46221</v>
      </c>
      <c r="B19" s="6" t="s">
        <v>59</v>
      </c>
      <c r="C19" s="6" t="s">
        <v>79</v>
      </c>
      <c r="D19" s="6" t="s">
        <v>76</v>
      </c>
      <c r="E19" s="26"/>
      <c r="F19" s="6"/>
      <c r="G19" s="26" t="str">
        <f t="shared" si="0"/>
        <v/>
      </c>
      <c r="H19" s="6"/>
      <c r="I19" s="6"/>
      <c r="J19" s="6"/>
      <c r="K19" s="6"/>
      <c r="L19" s="6"/>
      <c r="M19" s="6"/>
      <c r="N19" s="6"/>
      <c r="O19" s="6"/>
      <c r="P19" s="6" t="str">
        <f t="shared" si="1"/>
        <v/>
      </c>
      <c r="Q19" s="6" t="str">
        <f t="shared" si="2"/>
        <v/>
      </c>
      <c r="R19" s="6"/>
      <c r="S19" s="6" t="str">
        <f t="shared" si="3"/>
        <v/>
      </c>
      <c r="T19" s="6" t="str">
        <f t="shared" si="4"/>
        <v/>
      </c>
      <c r="U19" s="6"/>
    </row>
    <row r="20" spans="1:21">
      <c r="A20" s="13">
        <v>46222</v>
      </c>
      <c r="B20" s="6" t="s">
        <v>62</v>
      </c>
      <c r="C20" s="6" t="s">
        <v>80</v>
      </c>
      <c r="D20" s="6" t="s">
        <v>76</v>
      </c>
      <c r="E20" s="26"/>
      <c r="F20" s="6"/>
      <c r="G20" s="26" t="str">
        <f t="shared" si="0"/>
        <v/>
      </c>
      <c r="H20" s="6"/>
      <c r="I20" s="6"/>
      <c r="J20" s="6"/>
      <c r="K20" s="6"/>
      <c r="L20" s="6"/>
      <c r="M20" s="6"/>
      <c r="N20" s="6"/>
      <c r="O20" s="6"/>
      <c r="P20" s="6" t="str">
        <f t="shared" si="1"/>
        <v/>
      </c>
      <c r="Q20" s="6" t="str">
        <f t="shared" si="2"/>
        <v/>
      </c>
      <c r="R20" s="6"/>
      <c r="S20" s="6" t="str">
        <f t="shared" si="3"/>
        <v/>
      </c>
      <c r="T20" s="6" t="str">
        <f t="shared" si="4"/>
        <v/>
      </c>
      <c r="U20" s="6"/>
    </row>
    <row r="21" spans="1:21">
      <c r="A21" s="13">
        <v>46223</v>
      </c>
      <c r="B21" s="6" t="s">
        <v>64</v>
      </c>
      <c r="C21" s="6" t="s">
        <v>81</v>
      </c>
      <c r="D21" s="6" t="s">
        <v>76</v>
      </c>
      <c r="E21" s="26"/>
      <c r="F21" s="6"/>
      <c r="G21" s="26" t="str">
        <f t="shared" si="0"/>
        <v/>
      </c>
      <c r="H21" s="6"/>
      <c r="I21" s="6"/>
      <c r="J21" s="6"/>
      <c r="K21" s="6"/>
      <c r="L21" s="6"/>
      <c r="M21" s="6"/>
      <c r="N21" s="6"/>
      <c r="O21" s="6"/>
      <c r="P21" s="6" t="str">
        <f t="shared" si="1"/>
        <v/>
      </c>
      <c r="Q21" s="6" t="str">
        <f t="shared" si="2"/>
        <v/>
      </c>
      <c r="R21" s="6"/>
      <c r="S21" s="6" t="str">
        <f t="shared" si="3"/>
        <v/>
      </c>
      <c r="T21" s="6" t="str">
        <f t="shared" si="4"/>
        <v/>
      </c>
      <c r="U21" s="6"/>
    </row>
    <row r="22" spans="1:21">
      <c r="A22" s="13">
        <v>46224</v>
      </c>
      <c r="B22" s="6" t="s">
        <v>66</v>
      </c>
      <c r="C22" s="6" t="s">
        <v>82</v>
      </c>
      <c r="D22" s="6" t="s">
        <v>76</v>
      </c>
      <c r="E22" s="26"/>
      <c r="F22" s="6"/>
      <c r="G22" s="26" t="str">
        <f t="shared" si="0"/>
        <v/>
      </c>
      <c r="H22" s="6"/>
      <c r="I22" s="6"/>
      <c r="J22" s="6"/>
      <c r="K22" s="6"/>
      <c r="L22" s="6"/>
      <c r="M22" s="6"/>
      <c r="N22" s="6"/>
      <c r="O22" s="6"/>
      <c r="P22" s="6" t="str">
        <f t="shared" si="1"/>
        <v/>
      </c>
      <c r="Q22" s="6" t="str">
        <f t="shared" si="2"/>
        <v/>
      </c>
      <c r="R22" s="6"/>
      <c r="S22" s="6" t="str">
        <f t="shared" si="3"/>
        <v/>
      </c>
      <c r="T22" s="6" t="str">
        <f t="shared" si="4"/>
        <v/>
      </c>
      <c r="U22" s="6"/>
    </row>
    <row r="23" spans="1:21">
      <c r="A23" s="13">
        <v>46225</v>
      </c>
      <c r="B23" s="6" t="s">
        <v>50</v>
      </c>
      <c r="C23" s="6" t="s">
        <v>83</v>
      </c>
      <c r="D23" s="6" t="s">
        <v>76</v>
      </c>
      <c r="E23" s="26"/>
      <c r="F23" s="6"/>
      <c r="G23" s="26" t="str">
        <f t="shared" si="0"/>
        <v/>
      </c>
      <c r="H23" s="6"/>
      <c r="I23" s="6"/>
      <c r="J23" s="6"/>
      <c r="K23" s="6"/>
      <c r="L23" s="6"/>
      <c r="M23" s="6"/>
      <c r="N23" s="6"/>
      <c r="O23" s="6"/>
      <c r="P23" s="6" t="str">
        <f t="shared" si="1"/>
        <v/>
      </c>
      <c r="Q23" s="6" t="str">
        <f t="shared" si="2"/>
        <v/>
      </c>
      <c r="R23" s="6"/>
      <c r="S23" s="6" t="str">
        <f t="shared" si="3"/>
        <v/>
      </c>
      <c r="T23" s="6" t="str">
        <f t="shared" si="4"/>
        <v/>
      </c>
      <c r="U23" s="6"/>
    </row>
    <row r="24" spans="1:21">
      <c r="A24" s="13">
        <v>46226</v>
      </c>
      <c r="B24" s="6" t="s">
        <v>52</v>
      </c>
      <c r="C24" s="6" t="s">
        <v>84</v>
      </c>
      <c r="D24" s="6" t="s">
        <v>85</v>
      </c>
      <c r="E24" s="26"/>
      <c r="F24" s="6"/>
      <c r="G24" s="26" t="str">
        <f t="shared" si="0"/>
        <v/>
      </c>
      <c r="H24" s="6"/>
      <c r="I24" s="6"/>
      <c r="J24" s="6"/>
      <c r="K24" s="6"/>
      <c r="L24" s="6"/>
      <c r="M24" s="6"/>
      <c r="N24" s="6"/>
      <c r="O24" s="6"/>
      <c r="P24" s="6" t="str">
        <f t="shared" si="1"/>
        <v/>
      </c>
      <c r="Q24" s="6" t="str">
        <f t="shared" si="2"/>
        <v/>
      </c>
      <c r="R24" s="6"/>
      <c r="S24" s="6" t="str">
        <f t="shared" si="3"/>
        <v/>
      </c>
      <c r="T24" s="6" t="str">
        <f t="shared" si="4"/>
        <v/>
      </c>
      <c r="U24" s="6"/>
    </row>
    <row r="25" spans="1:21">
      <c r="A25" s="13">
        <v>46227</v>
      </c>
      <c r="B25" s="6" t="s">
        <v>56</v>
      </c>
      <c r="C25" s="6" t="s">
        <v>86</v>
      </c>
      <c r="D25" s="6" t="s">
        <v>58</v>
      </c>
      <c r="E25" s="26"/>
      <c r="F25" s="6"/>
      <c r="G25" s="26" t="str">
        <f t="shared" si="0"/>
        <v/>
      </c>
      <c r="H25" s="6"/>
      <c r="I25" s="6"/>
      <c r="J25" s="6"/>
      <c r="K25" s="6"/>
      <c r="L25" s="6"/>
      <c r="M25" s="6"/>
      <c r="N25" s="6"/>
      <c r="O25" s="6"/>
      <c r="P25" s="6" t="str">
        <f t="shared" si="1"/>
        <v/>
      </c>
      <c r="Q25" s="6" t="str">
        <f t="shared" si="2"/>
        <v/>
      </c>
      <c r="R25" s="6"/>
      <c r="S25" s="6" t="str">
        <f t="shared" si="3"/>
        <v/>
      </c>
      <c r="T25" s="6" t="str">
        <f t="shared" si="4"/>
        <v/>
      </c>
      <c r="U25" s="6"/>
    </row>
    <row r="26" spans="1:21">
      <c r="A26" s="13">
        <v>46228</v>
      </c>
      <c r="B26" s="6" t="s">
        <v>59</v>
      </c>
      <c r="C26" s="6" t="s">
        <v>87</v>
      </c>
      <c r="D26" s="6" t="s">
        <v>88</v>
      </c>
      <c r="E26" s="26"/>
      <c r="F26" s="6"/>
      <c r="G26" s="26" t="str">
        <f t="shared" si="0"/>
        <v/>
      </c>
      <c r="H26" s="6"/>
      <c r="I26" s="6"/>
      <c r="J26" s="6"/>
      <c r="K26" s="6"/>
      <c r="L26" s="6"/>
      <c r="M26" s="6"/>
      <c r="N26" s="6"/>
      <c r="O26" s="6"/>
      <c r="P26" s="6" t="str">
        <f t="shared" si="1"/>
        <v/>
      </c>
      <c r="Q26" s="6" t="str">
        <f t="shared" si="2"/>
        <v/>
      </c>
      <c r="R26" s="6"/>
      <c r="S26" s="6" t="str">
        <f t="shared" si="3"/>
        <v/>
      </c>
      <c r="T26" s="6" t="str">
        <f t="shared" si="4"/>
        <v/>
      </c>
      <c r="U26" s="6"/>
    </row>
    <row r="27" spans="1:21">
      <c r="A27" s="13">
        <v>46229</v>
      </c>
      <c r="B27" s="6" t="s">
        <v>62</v>
      </c>
      <c r="C27" s="6" t="s">
        <v>89</v>
      </c>
      <c r="D27" s="6"/>
      <c r="E27" s="26"/>
      <c r="F27" s="6"/>
      <c r="G27" s="26" t="str">
        <f t="shared" si="0"/>
        <v/>
      </c>
      <c r="H27" s="6"/>
      <c r="I27" s="6"/>
      <c r="J27" s="6"/>
      <c r="K27" s="6"/>
      <c r="L27" s="6"/>
      <c r="M27" s="6"/>
      <c r="N27" s="6"/>
      <c r="O27" s="6"/>
      <c r="P27" s="6" t="str">
        <f t="shared" si="1"/>
        <v/>
      </c>
      <c r="Q27" s="6" t="str">
        <f t="shared" si="2"/>
        <v/>
      </c>
      <c r="R27" s="6"/>
      <c r="S27" s="6" t="str">
        <f t="shared" si="3"/>
        <v/>
      </c>
      <c r="T27" s="6" t="str">
        <f t="shared" si="4"/>
        <v/>
      </c>
      <c r="U27" s="6"/>
    </row>
    <row r="28" spans="1:21">
      <c r="A28" s="13">
        <v>46230</v>
      </c>
      <c r="B28" s="6" t="s">
        <v>64</v>
      </c>
      <c r="C28" s="6" t="s">
        <v>90</v>
      </c>
      <c r="D28" s="6"/>
      <c r="E28" s="26"/>
      <c r="F28" s="6"/>
      <c r="G28" s="26" t="str">
        <f t="shared" si="0"/>
        <v/>
      </c>
      <c r="H28" s="6"/>
      <c r="I28" s="6"/>
      <c r="J28" s="6"/>
      <c r="K28" s="6"/>
      <c r="L28" s="6"/>
      <c r="M28" s="6"/>
      <c r="N28" s="6"/>
      <c r="O28" s="6"/>
      <c r="P28" s="6" t="str">
        <f t="shared" si="1"/>
        <v/>
      </c>
      <c r="Q28" s="6" t="str">
        <f t="shared" si="2"/>
        <v/>
      </c>
      <c r="R28" s="6"/>
      <c r="S28" s="6" t="str">
        <f t="shared" si="3"/>
        <v/>
      </c>
      <c r="T28" s="6" t="str">
        <f t="shared" si="4"/>
        <v/>
      </c>
      <c r="U28" s="6"/>
    </row>
    <row r="29" spans="1:21">
      <c r="A29" s="13">
        <v>46231</v>
      </c>
      <c r="B29" s="6" t="s">
        <v>66</v>
      </c>
      <c r="C29" s="6" t="s">
        <v>91</v>
      </c>
      <c r="D29" s="6"/>
      <c r="E29" s="26"/>
      <c r="F29" s="6"/>
      <c r="G29" s="26" t="str">
        <f t="shared" si="0"/>
        <v/>
      </c>
      <c r="H29" s="6"/>
      <c r="I29" s="6"/>
      <c r="J29" s="6"/>
      <c r="K29" s="6"/>
      <c r="L29" s="6"/>
      <c r="M29" s="6"/>
      <c r="N29" s="6"/>
      <c r="O29" s="6"/>
      <c r="P29" s="6" t="str">
        <f t="shared" si="1"/>
        <v/>
      </c>
      <c r="Q29" s="6" t="str">
        <f t="shared" si="2"/>
        <v/>
      </c>
      <c r="R29" s="6"/>
      <c r="S29" s="6" t="str">
        <f t="shared" si="3"/>
        <v/>
      </c>
      <c r="T29" s="6" t="str">
        <f t="shared" si="4"/>
        <v/>
      </c>
      <c r="U29" s="6"/>
    </row>
    <row r="30" spans="1:21">
      <c r="A30" s="13">
        <v>46232</v>
      </c>
      <c r="B30" s="6" t="s">
        <v>50</v>
      </c>
      <c r="C30" s="6" t="s">
        <v>92</v>
      </c>
      <c r="D30" s="6" t="s">
        <v>93</v>
      </c>
      <c r="E30" s="26"/>
      <c r="F30" s="6"/>
      <c r="G30" s="26" t="str">
        <f t="shared" si="0"/>
        <v/>
      </c>
      <c r="H30" s="6"/>
      <c r="I30" s="6"/>
      <c r="J30" s="6"/>
      <c r="K30" s="6"/>
      <c r="L30" s="6"/>
      <c r="M30" s="6"/>
      <c r="N30" s="6"/>
      <c r="O30" s="6"/>
      <c r="P30" s="6" t="str">
        <f t="shared" si="1"/>
        <v/>
      </c>
      <c r="Q30" s="6" t="str">
        <f t="shared" si="2"/>
        <v/>
      </c>
      <c r="R30" s="6"/>
      <c r="S30" s="6" t="str">
        <f t="shared" si="3"/>
        <v/>
      </c>
      <c r="T30" s="6" t="str">
        <f t="shared" si="4"/>
        <v/>
      </c>
      <c r="U30" s="6"/>
    </row>
    <row r="31" spans="1:21">
      <c r="A31" s="13">
        <v>46233</v>
      </c>
      <c r="B31" s="6" t="s">
        <v>52</v>
      </c>
      <c r="C31" s="6" t="s">
        <v>94</v>
      </c>
      <c r="D31" s="6"/>
      <c r="E31" s="26"/>
      <c r="F31" s="6"/>
      <c r="G31" s="26" t="str">
        <f t="shared" si="0"/>
        <v/>
      </c>
      <c r="H31" s="6"/>
      <c r="I31" s="6"/>
      <c r="J31" s="6"/>
      <c r="K31" s="6"/>
      <c r="L31" s="6"/>
      <c r="M31" s="6"/>
      <c r="N31" s="6"/>
      <c r="O31" s="6"/>
      <c r="P31" s="6" t="str">
        <f t="shared" si="1"/>
        <v/>
      </c>
      <c r="Q31" s="6" t="str">
        <f t="shared" si="2"/>
        <v/>
      </c>
      <c r="R31" s="6"/>
      <c r="S31" s="6" t="str">
        <f t="shared" si="3"/>
        <v/>
      </c>
      <c r="T31" s="6" t="str">
        <f t="shared" si="4"/>
        <v/>
      </c>
      <c r="U31" s="6"/>
    </row>
    <row r="32" spans="1:21">
      <c r="A32" s="13">
        <v>46234</v>
      </c>
      <c r="B32" s="6" t="s">
        <v>56</v>
      </c>
      <c r="C32" s="6" t="s">
        <v>95</v>
      </c>
      <c r="D32" s="6" t="s">
        <v>58</v>
      </c>
      <c r="E32" s="26"/>
      <c r="F32" s="6"/>
      <c r="G32" s="26" t="str">
        <f t="shared" si="0"/>
        <v/>
      </c>
      <c r="H32" s="6"/>
      <c r="I32" s="6"/>
      <c r="J32" s="6"/>
      <c r="K32" s="6"/>
      <c r="L32" s="6"/>
      <c r="M32" s="6"/>
      <c r="N32" s="6"/>
      <c r="O32" s="6"/>
      <c r="P32" s="6" t="str">
        <f t="shared" si="1"/>
        <v/>
      </c>
      <c r="Q32" s="6" t="str">
        <f t="shared" si="2"/>
        <v/>
      </c>
      <c r="R32" s="6"/>
      <c r="S32" s="6" t="str">
        <f t="shared" si="3"/>
        <v/>
      </c>
      <c r="T32" s="6" t="str">
        <f t="shared" si="4"/>
        <v/>
      </c>
      <c r="U32" s="6"/>
    </row>
  </sheetData>
  <conditionalFormatting sqref="Q2:Q32">
    <cfRule type="expression" dxfId="5" priority="1">
      <formula>ABS(Q2)&gt;1</formula>
    </cfRule>
  </conditionalFormatting>
  <conditionalFormatting sqref="S2:S32">
    <cfRule type="expression" dxfId="4" priority="2">
      <formula>S2&gt;0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0"/>
  <sheetViews>
    <sheetView rightToLeft="1" workbookViewId="0">
      <selection sqref="A1:A1048576"/>
    </sheetView>
  </sheetViews>
  <sheetFormatPr defaultRowHeight="14.25"/>
  <cols>
    <col min="1" max="1" width="18" style="12" customWidth="1"/>
    <col min="2" max="5" width="18" customWidth="1"/>
    <col min="6" max="6" width="36" customWidth="1"/>
    <col min="7" max="8" width="18" customWidth="1"/>
  </cols>
  <sheetData>
    <row r="1" spans="1:8" ht="15">
      <c r="A1" s="7" t="s">
        <v>44</v>
      </c>
      <c r="B1" s="1" t="s">
        <v>45</v>
      </c>
      <c r="C1" s="1" t="s">
        <v>8</v>
      </c>
      <c r="D1" s="1" t="s">
        <v>46</v>
      </c>
      <c r="E1" s="1" t="s">
        <v>96</v>
      </c>
      <c r="F1" s="1" t="s">
        <v>97</v>
      </c>
      <c r="G1" s="1" t="s">
        <v>16</v>
      </c>
      <c r="H1" s="1" t="s">
        <v>98</v>
      </c>
    </row>
    <row r="2" spans="1:8">
      <c r="A2" s="12">
        <v>46204</v>
      </c>
      <c r="B2" t="s">
        <v>50</v>
      </c>
      <c r="C2" t="s">
        <v>51</v>
      </c>
    </row>
    <row r="3" spans="1:8">
      <c r="A3" s="12">
        <v>46205</v>
      </c>
      <c r="B3" t="s">
        <v>52</v>
      </c>
      <c r="C3" t="s">
        <v>53</v>
      </c>
      <c r="D3" t="s">
        <v>54</v>
      </c>
      <c r="E3" t="s">
        <v>99</v>
      </c>
      <c r="F3" t="s">
        <v>100</v>
      </c>
      <c r="G3" t="s">
        <v>101</v>
      </c>
    </row>
    <row r="4" spans="1:8">
      <c r="A4" s="12">
        <v>46206</v>
      </c>
      <c r="B4" t="s">
        <v>56</v>
      </c>
      <c r="C4" t="s">
        <v>57</v>
      </c>
      <c r="D4" t="s">
        <v>54</v>
      </c>
      <c r="E4" t="s">
        <v>99</v>
      </c>
      <c r="F4" t="s">
        <v>100</v>
      </c>
      <c r="G4" t="s">
        <v>101</v>
      </c>
    </row>
    <row r="5" spans="1:8">
      <c r="A5" s="12">
        <v>46207</v>
      </c>
      <c r="B5" t="s">
        <v>59</v>
      </c>
      <c r="C5" t="s">
        <v>60</v>
      </c>
      <c r="D5" t="s">
        <v>54</v>
      </c>
      <c r="E5" t="s">
        <v>99</v>
      </c>
      <c r="F5" t="s">
        <v>100</v>
      </c>
      <c r="G5" t="s">
        <v>101</v>
      </c>
    </row>
    <row r="6" spans="1:8">
      <c r="A6" s="12">
        <v>46208</v>
      </c>
      <c r="B6" t="s">
        <v>62</v>
      </c>
      <c r="C6" t="s">
        <v>63</v>
      </c>
      <c r="D6" t="s">
        <v>54</v>
      </c>
      <c r="E6" t="s">
        <v>99</v>
      </c>
      <c r="F6" t="s">
        <v>100</v>
      </c>
      <c r="G6" t="s">
        <v>101</v>
      </c>
    </row>
    <row r="7" spans="1:8">
      <c r="A7" s="12">
        <v>46209</v>
      </c>
      <c r="B7" t="s">
        <v>64</v>
      </c>
      <c r="C7" t="s">
        <v>65</v>
      </c>
      <c r="D7" t="s">
        <v>54</v>
      </c>
      <c r="E7" t="s">
        <v>99</v>
      </c>
      <c r="F7" t="s">
        <v>100</v>
      </c>
      <c r="G7" t="s">
        <v>101</v>
      </c>
    </row>
    <row r="8" spans="1:8">
      <c r="A8" s="12">
        <v>46210</v>
      </c>
      <c r="B8" t="s">
        <v>66</v>
      </c>
      <c r="C8" t="s">
        <v>67</v>
      </c>
      <c r="D8" t="s">
        <v>54</v>
      </c>
      <c r="E8" t="s">
        <v>99</v>
      </c>
      <c r="F8" t="s">
        <v>100</v>
      </c>
      <c r="G8" t="s">
        <v>101</v>
      </c>
    </row>
    <row r="9" spans="1:8">
      <c r="A9" s="12">
        <v>46211</v>
      </c>
      <c r="B9" t="s">
        <v>50</v>
      </c>
      <c r="C9" t="s">
        <v>68</v>
      </c>
      <c r="D9" t="s">
        <v>54</v>
      </c>
      <c r="E9" t="s">
        <v>99</v>
      </c>
      <c r="F9" t="s">
        <v>100</v>
      </c>
      <c r="G9" t="s">
        <v>101</v>
      </c>
    </row>
    <row r="10" spans="1:8">
      <c r="A10" s="12">
        <v>46212</v>
      </c>
      <c r="B10" t="s">
        <v>52</v>
      </c>
      <c r="C10" t="s">
        <v>69</v>
      </c>
      <c r="D10" t="s">
        <v>54</v>
      </c>
      <c r="E10" t="s">
        <v>99</v>
      </c>
      <c r="F10" t="s">
        <v>100</v>
      </c>
      <c r="G10" t="s">
        <v>101</v>
      </c>
    </row>
    <row r="11" spans="1:8">
      <c r="A11" s="12">
        <v>46213</v>
      </c>
      <c r="B11" t="s">
        <v>56</v>
      </c>
      <c r="C11" t="s">
        <v>70</v>
      </c>
      <c r="D11" t="s">
        <v>54</v>
      </c>
      <c r="E11" t="s">
        <v>99</v>
      </c>
      <c r="F11" t="s">
        <v>100</v>
      </c>
      <c r="G11" t="s">
        <v>101</v>
      </c>
    </row>
    <row r="12" spans="1:8">
      <c r="A12" s="12">
        <v>46214</v>
      </c>
      <c r="B12" t="s">
        <v>59</v>
      </c>
      <c r="C12" t="s">
        <v>71</v>
      </c>
      <c r="D12" t="s">
        <v>54</v>
      </c>
      <c r="E12" t="s">
        <v>99</v>
      </c>
      <c r="F12" t="s">
        <v>100</v>
      </c>
      <c r="G12" t="s">
        <v>101</v>
      </c>
    </row>
    <row r="13" spans="1:8">
      <c r="A13" s="12">
        <v>46215</v>
      </c>
      <c r="B13" t="s">
        <v>62</v>
      </c>
      <c r="C13" t="s">
        <v>72</v>
      </c>
      <c r="D13" t="s">
        <v>54</v>
      </c>
      <c r="E13" t="s">
        <v>99</v>
      </c>
      <c r="F13" t="s">
        <v>100</v>
      </c>
      <c r="G13" t="s">
        <v>101</v>
      </c>
    </row>
    <row r="14" spans="1:8">
      <c r="A14" s="12">
        <v>46216</v>
      </c>
      <c r="B14" t="s">
        <v>64</v>
      </c>
      <c r="C14" t="s">
        <v>73</v>
      </c>
      <c r="D14" t="s">
        <v>54</v>
      </c>
      <c r="E14" t="s">
        <v>99</v>
      </c>
      <c r="F14" t="s">
        <v>100</v>
      </c>
      <c r="G14" t="s">
        <v>101</v>
      </c>
    </row>
    <row r="15" spans="1:8">
      <c r="A15" s="12">
        <v>46217</v>
      </c>
      <c r="B15" t="s">
        <v>66</v>
      </c>
      <c r="C15" t="s">
        <v>74</v>
      </c>
      <c r="D15" t="s">
        <v>54</v>
      </c>
      <c r="E15" t="s">
        <v>99</v>
      </c>
      <c r="F15" t="s">
        <v>100</v>
      </c>
      <c r="G15" t="s">
        <v>101</v>
      </c>
    </row>
    <row r="16" spans="1:8">
      <c r="A16" s="12">
        <v>46218</v>
      </c>
      <c r="B16" t="s">
        <v>50</v>
      </c>
      <c r="C16" t="s">
        <v>75</v>
      </c>
      <c r="D16" t="s">
        <v>76</v>
      </c>
      <c r="E16" t="s">
        <v>99</v>
      </c>
      <c r="F16" t="s">
        <v>102</v>
      </c>
      <c r="G16" t="s">
        <v>103</v>
      </c>
    </row>
    <row r="17" spans="1:7">
      <c r="A17" s="12">
        <v>46219</v>
      </c>
      <c r="B17" t="s">
        <v>52</v>
      </c>
      <c r="C17" t="s">
        <v>77</v>
      </c>
      <c r="D17" t="s">
        <v>76</v>
      </c>
      <c r="E17" t="s">
        <v>99</v>
      </c>
      <c r="F17" t="s">
        <v>102</v>
      </c>
      <c r="G17" t="s">
        <v>103</v>
      </c>
    </row>
    <row r="18" spans="1:7">
      <c r="A18" s="12">
        <v>46220</v>
      </c>
      <c r="B18" t="s">
        <v>56</v>
      </c>
      <c r="C18" t="s">
        <v>78</v>
      </c>
      <c r="D18" t="s">
        <v>76</v>
      </c>
      <c r="E18" t="s">
        <v>99</v>
      </c>
      <c r="F18" t="s">
        <v>102</v>
      </c>
      <c r="G18" t="s">
        <v>103</v>
      </c>
    </row>
    <row r="19" spans="1:7">
      <c r="A19" s="12">
        <v>46221</v>
      </c>
      <c r="B19" t="s">
        <v>59</v>
      </c>
      <c r="C19" t="s">
        <v>79</v>
      </c>
      <c r="D19" t="s">
        <v>76</v>
      </c>
      <c r="E19" t="s">
        <v>99</v>
      </c>
      <c r="F19" t="s">
        <v>102</v>
      </c>
      <c r="G19" t="s">
        <v>103</v>
      </c>
    </row>
    <row r="20" spans="1:7">
      <c r="A20" s="12">
        <v>46222</v>
      </c>
      <c r="B20" t="s">
        <v>62</v>
      </c>
      <c r="C20" t="s">
        <v>80</v>
      </c>
      <c r="D20" t="s">
        <v>76</v>
      </c>
      <c r="E20" t="s">
        <v>99</v>
      </c>
      <c r="F20" t="s">
        <v>102</v>
      </c>
      <c r="G20" t="s">
        <v>103</v>
      </c>
    </row>
    <row r="21" spans="1:7">
      <c r="A21" s="12">
        <v>46223</v>
      </c>
      <c r="B21" t="s">
        <v>64</v>
      </c>
      <c r="C21" t="s">
        <v>81</v>
      </c>
      <c r="D21" t="s">
        <v>76</v>
      </c>
      <c r="E21" t="s">
        <v>99</v>
      </c>
      <c r="F21" t="s">
        <v>102</v>
      </c>
      <c r="G21" t="s">
        <v>103</v>
      </c>
    </row>
    <row r="22" spans="1:7">
      <c r="A22" s="12">
        <v>46224</v>
      </c>
      <c r="B22" t="s">
        <v>66</v>
      </c>
      <c r="C22" t="s">
        <v>82</v>
      </c>
      <c r="D22" t="s">
        <v>76</v>
      </c>
      <c r="E22" t="s">
        <v>99</v>
      </c>
      <c r="F22" t="s">
        <v>102</v>
      </c>
      <c r="G22" t="s">
        <v>103</v>
      </c>
    </row>
    <row r="23" spans="1:7">
      <c r="A23" s="12">
        <v>46225</v>
      </c>
      <c r="B23" t="s">
        <v>50</v>
      </c>
      <c r="C23" t="s">
        <v>83</v>
      </c>
      <c r="D23" t="s">
        <v>76</v>
      </c>
      <c r="E23" t="s">
        <v>99</v>
      </c>
      <c r="F23" t="s">
        <v>102</v>
      </c>
      <c r="G23" t="s">
        <v>103</v>
      </c>
    </row>
    <row r="24" spans="1:7">
      <c r="A24" s="12">
        <v>46226</v>
      </c>
      <c r="B24" t="s">
        <v>52</v>
      </c>
      <c r="C24" t="s">
        <v>84</v>
      </c>
      <c r="D24" t="s">
        <v>85</v>
      </c>
      <c r="E24" t="s">
        <v>104</v>
      </c>
      <c r="F24" t="s">
        <v>105</v>
      </c>
      <c r="G24" t="s">
        <v>106</v>
      </c>
    </row>
    <row r="25" spans="1:7">
      <c r="A25" s="12">
        <v>46227</v>
      </c>
      <c r="B25" t="s">
        <v>56</v>
      </c>
      <c r="C25" t="s">
        <v>86</v>
      </c>
      <c r="D25" t="s">
        <v>58</v>
      </c>
      <c r="E25" t="s">
        <v>107</v>
      </c>
      <c r="F25" t="s">
        <v>108</v>
      </c>
      <c r="G25" t="s">
        <v>103</v>
      </c>
    </row>
    <row r="26" spans="1:7">
      <c r="A26" s="12">
        <v>46228</v>
      </c>
      <c r="B26" t="s">
        <v>59</v>
      </c>
      <c r="C26" t="s">
        <v>87</v>
      </c>
      <c r="D26" t="s">
        <v>88</v>
      </c>
      <c r="E26" t="s">
        <v>107</v>
      </c>
      <c r="F26" t="s">
        <v>109</v>
      </c>
      <c r="G26" t="s">
        <v>103</v>
      </c>
    </row>
    <row r="27" spans="1:7">
      <c r="A27" s="12">
        <v>46229</v>
      </c>
      <c r="B27" t="s">
        <v>62</v>
      </c>
      <c r="C27" t="s">
        <v>89</v>
      </c>
    </row>
    <row r="28" spans="1:7">
      <c r="A28" s="12">
        <v>46230</v>
      </c>
      <c r="B28" t="s">
        <v>64</v>
      </c>
      <c r="C28" t="s">
        <v>90</v>
      </c>
    </row>
    <row r="29" spans="1:7">
      <c r="A29" s="12">
        <v>46231</v>
      </c>
      <c r="B29" t="s">
        <v>66</v>
      </c>
      <c r="C29" t="s">
        <v>91</v>
      </c>
    </row>
    <row r="30" spans="1:7">
      <c r="A30" s="12">
        <v>46232</v>
      </c>
      <c r="B30" t="s">
        <v>50</v>
      </c>
      <c r="C30" t="s">
        <v>92</v>
      </c>
      <c r="D30" t="s">
        <v>93</v>
      </c>
      <c r="E30" t="s">
        <v>99</v>
      </c>
      <c r="F30" t="s">
        <v>110</v>
      </c>
      <c r="G30" t="s">
        <v>101</v>
      </c>
    </row>
    <row r="31" spans="1:7">
      <c r="A31" s="12">
        <v>46233</v>
      </c>
      <c r="B31" t="s">
        <v>52</v>
      </c>
      <c r="C31" t="s">
        <v>94</v>
      </c>
    </row>
    <row r="32" spans="1:7">
      <c r="A32" s="12">
        <v>46234</v>
      </c>
      <c r="B32" t="s">
        <v>56</v>
      </c>
      <c r="C32" t="s">
        <v>95</v>
      </c>
      <c r="D32" t="s">
        <v>58</v>
      </c>
      <c r="E32" t="s">
        <v>107</v>
      </c>
      <c r="F32" t="s">
        <v>108</v>
      </c>
      <c r="G32" t="s">
        <v>103</v>
      </c>
    </row>
    <row r="33" spans="1:7">
      <c r="A33" s="12">
        <v>46235</v>
      </c>
      <c r="B33" t="s">
        <v>59</v>
      </c>
      <c r="C33" t="s">
        <v>111</v>
      </c>
      <c r="D33" t="s">
        <v>88</v>
      </c>
      <c r="E33" t="s">
        <v>107</v>
      </c>
      <c r="F33" t="s">
        <v>109</v>
      </c>
      <c r="G33" t="s">
        <v>103</v>
      </c>
    </row>
    <row r="34" spans="1:7">
      <c r="A34" s="12">
        <v>46236</v>
      </c>
      <c r="B34" t="s">
        <v>62</v>
      </c>
      <c r="C34" t="s">
        <v>112</v>
      </c>
    </row>
    <row r="35" spans="1:7">
      <c r="A35" s="12">
        <v>46237</v>
      </c>
      <c r="B35" t="s">
        <v>64</v>
      </c>
      <c r="C35" t="s">
        <v>113</v>
      </c>
    </row>
    <row r="36" spans="1:7">
      <c r="A36" s="12">
        <v>46238</v>
      </c>
      <c r="B36" t="s">
        <v>66</v>
      </c>
      <c r="C36" t="s">
        <v>114</v>
      </c>
    </row>
    <row r="37" spans="1:7">
      <c r="A37" s="12">
        <v>46239</v>
      </c>
      <c r="B37" t="s">
        <v>50</v>
      </c>
      <c r="C37" t="s">
        <v>115</v>
      </c>
    </row>
    <row r="38" spans="1:7">
      <c r="A38" s="12">
        <v>46240</v>
      </c>
      <c r="B38" t="s">
        <v>52</v>
      </c>
      <c r="C38" t="s">
        <v>116</v>
      </c>
    </row>
    <row r="39" spans="1:7">
      <c r="A39" s="12">
        <v>46241</v>
      </c>
      <c r="B39" t="s">
        <v>56</v>
      </c>
      <c r="C39" t="s">
        <v>117</v>
      </c>
      <c r="D39" t="s">
        <v>58</v>
      </c>
      <c r="E39" t="s">
        <v>107</v>
      </c>
      <c r="F39" t="s">
        <v>108</v>
      </c>
      <c r="G39" t="s">
        <v>103</v>
      </c>
    </row>
    <row r="40" spans="1:7">
      <c r="A40" s="12">
        <v>46242</v>
      </c>
      <c r="B40" t="s">
        <v>59</v>
      </c>
      <c r="C40" t="s">
        <v>118</v>
      </c>
      <c r="D40" t="s">
        <v>88</v>
      </c>
      <c r="E40" t="s">
        <v>107</v>
      </c>
      <c r="F40" t="s">
        <v>109</v>
      </c>
      <c r="G40" t="s">
        <v>103</v>
      </c>
    </row>
    <row r="41" spans="1:7">
      <c r="A41" s="12">
        <v>46243</v>
      </c>
      <c r="B41" t="s">
        <v>62</v>
      </c>
      <c r="C41" t="s">
        <v>119</v>
      </c>
    </row>
    <row r="42" spans="1:7">
      <c r="A42" s="12">
        <v>46244</v>
      </c>
      <c r="B42" t="s">
        <v>64</v>
      </c>
      <c r="C42" t="s">
        <v>120</v>
      </c>
    </row>
    <row r="43" spans="1:7">
      <c r="A43" s="12">
        <v>46245</v>
      </c>
      <c r="B43" t="s">
        <v>66</v>
      </c>
      <c r="C43" t="s">
        <v>121</v>
      </c>
    </row>
    <row r="44" spans="1:7">
      <c r="A44" s="12">
        <v>46246</v>
      </c>
      <c r="B44" t="s">
        <v>50</v>
      </c>
      <c r="C44" t="s">
        <v>122</v>
      </c>
    </row>
    <row r="45" spans="1:7">
      <c r="A45" s="12">
        <v>46247</v>
      </c>
      <c r="B45" t="s">
        <v>52</v>
      </c>
      <c r="C45" t="s">
        <v>123</v>
      </c>
    </row>
    <row r="46" spans="1:7">
      <c r="A46" s="12">
        <v>46248</v>
      </c>
      <c r="B46" t="s">
        <v>56</v>
      </c>
      <c r="C46" t="s">
        <v>124</v>
      </c>
      <c r="D46" t="s">
        <v>58</v>
      </c>
      <c r="E46" t="s">
        <v>107</v>
      </c>
      <c r="F46" t="s">
        <v>108</v>
      </c>
      <c r="G46" t="s">
        <v>103</v>
      </c>
    </row>
    <row r="47" spans="1:7">
      <c r="A47" s="12">
        <v>46249</v>
      </c>
      <c r="B47" t="s">
        <v>59</v>
      </c>
      <c r="C47" t="s">
        <v>125</v>
      </c>
      <c r="D47" t="s">
        <v>88</v>
      </c>
      <c r="E47" t="s">
        <v>107</v>
      </c>
      <c r="F47" t="s">
        <v>109</v>
      </c>
      <c r="G47" t="s">
        <v>103</v>
      </c>
    </row>
    <row r="48" spans="1:7">
      <c r="A48" s="12">
        <v>46250</v>
      </c>
      <c r="B48" t="s">
        <v>62</v>
      </c>
      <c r="C48" t="s">
        <v>126</v>
      </c>
    </row>
    <row r="49" spans="1:7">
      <c r="A49" s="12">
        <v>46251</v>
      </c>
      <c r="B49" t="s">
        <v>64</v>
      </c>
      <c r="C49" t="s">
        <v>127</v>
      </c>
    </row>
    <row r="50" spans="1:7">
      <c r="A50" s="12">
        <v>46252</v>
      </c>
      <c r="B50" t="s">
        <v>66</v>
      </c>
      <c r="C50" t="s">
        <v>128</v>
      </c>
    </row>
    <row r="51" spans="1:7">
      <c r="A51" s="12">
        <v>46253</v>
      </c>
      <c r="B51" t="s">
        <v>50</v>
      </c>
      <c r="C51" t="s">
        <v>129</v>
      </c>
    </row>
    <row r="52" spans="1:7">
      <c r="A52" s="12">
        <v>46254</v>
      </c>
      <c r="B52" t="s">
        <v>52</v>
      </c>
      <c r="C52" t="s">
        <v>130</v>
      </c>
    </row>
    <row r="53" spans="1:7">
      <c r="A53" s="12">
        <v>46255</v>
      </c>
      <c r="B53" t="s">
        <v>56</v>
      </c>
      <c r="C53" t="s">
        <v>131</v>
      </c>
      <c r="D53" t="s">
        <v>58</v>
      </c>
      <c r="E53" t="s">
        <v>107</v>
      </c>
      <c r="F53" t="s">
        <v>108</v>
      </c>
      <c r="G53" t="s">
        <v>103</v>
      </c>
    </row>
    <row r="54" spans="1:7">
      <c r="A54" s="12">
        <v>46256</v>
      </c>
      <c r="B54" t="s">
        <v>59</v>
      </c>
      <c r="C54" t="s">
        <v>132</v>
      </c>
      <c r="D54" t="s">
        <v>88</v>
      </c>
      <c r="E54" t="s">
        <v>107</v>
      </c>
      <c r="F54" t="s">
        <v>109</v>
      </c>
      <c r="G54" t="s">
        <v>103</v>
      </c>
    </row>
    <row r="55" spans="1:7">
      <c r="A55" s="12">
        <v>46257</v>
      </c>
      <c r="B55" t="s">
        <v>62</v>
      </c>
      <c r="C55" t="s">
        <v>133</v>
      </c>
    </row>
    <row r="56" spans="1:7">
      <c r="A56" s="12">
        <v>46258</v>
      </c>
      <c r="B56" t="s">
        <v>64</v>
      </c>
      <c r="C56" t="s">
        <v>134</v>
      </c>
    </row>
    <row r="57" spans="1:7">
      <c r="A57" s="12">
        <v>46259</v>
      </c>
      <c r="B57" t="s">
        <v>66</v>
      </c>
      <c r="C57" t="s">
        <v>135</v>
      </c>
    </row>
    <row r="58" spans="1:7">
      <c r="A58" s="12">
        <v>46260</v>
      </c>
      <c r="B58" t="s">
        <v>50</v>
      </c>
      <c r="C58" t="s">
        <v>136</v>
      </c>
    </row>
    <row r="59" spans="1:7">
      <c r="A59" s="12">
        <v>46261</v>
      </c>
      <c r="B59" t="s">
        <v>52</v>
      </c>
      <c r="C59" t="s">
        <v>137</v>
      </c>
    </row>
    <row r="60" spans="1:7">
      <c r="A60" s="12">
        <v>46262</v>
      </c>
      <c r="B60" t="s">
        <v>56</v>
      </c>
      <c r="C60" t="s">
        <v>138</v>
      </c>
      <c r="D60" t="s">
        <v>58</v>
      </c>
      <c r="E60" t="s">
        <v>107</v>
      </c>
      <c r="F60" t="s">
        <v>108</v>
      </c>
      <c r="G60" t="s">
        <v>103</v>
      </c>
    </row>
    <row r="61" spans="1:7">
      <c r="A61" s="12">
        <v>46263</v>
      </c>
      <c r="B61" t="s">
        <v>59</v>
      </c>
      <c r="C61" t="s">
        <v>139</v>
      </c>
      <c r="D61" t="s">
        <v>88</v>
      </c>
      <c r="E61" t="s">
        <v>107</v>
      </c>
      <c r="F61" t="s">
        <v>109</v>
      </c>
      <c r="G61" t="s">
        <v>103</v>
      </c>
    </row>
    <row r="62" spans="1:7">
      <c r="A62" s="12">
        <v>46264</v>
      </c>
      <c r="B62" t="s">
        <v>62</v>
      </c>
      <c r="C62" t="s">
        <v>140</v>
      </c>
    </row>
    <row r="63" spans="1:7">
      <c r="A63" s="12">
        <v>46265</v>
      </c>
      <c r="B63" t="s">
        <v>64</v>
      </c>
      <c r="C63" t="s">
        <v>141</v>
      </c>
    </row>
    <row r="64" spans="1:7">
      <c r="A64" s="12">
        <v>46266</v>
      </c>
      <c r="B64" t="s">
        <v>66</v>
      </c>
      <c r="C64" t="s">
        <v>142</v>
      </c>
    </row>
    <row r="65" spans="1:7">
      <c r="A65" s="12">
        <v>46267</v>
      </c>
      <c r="B65" t="s">
        <v>50</v>
      </c>
      <c r="C65" t="s">
        <v>143</v>
      </c>
    </row>
    <row r="66" spans="1:7">
      <c r="A66" s="12">
        <v>46268</v>
      </c>
      <c r="B66" t="s">
        <v>52</v>
      </c>
      <c r="C66" t="s">
        <v>144</v>
      </c>
    </row>
    <row r="67" spans="1:7">
      <c r="A67" s="12">
        <v>46269</v>
      </c>
      <c r="B67" t="s">
        <v>56</v>
      </c>
      <c r="C67" t="s">
        <v>145</v>
      </c>
      <c r="D67" t="s">
        <v>58</v>
      </c>
      <c r="E67" t="s">
        <v>107</v>
      </c>
      <c r="F67" t="s">
        <v>108</v>
      </c>
      <c r="G67" t="s">
        <v>103</v>
      </c>
    </row>
    <row r="68" spans="1:7">
      <c r="A68" s="12">
        <v>46270</v>
      </c>
      <c r="B68" t="s">
        <v>59</v>
      </c>
      <c r="C68" t="s">
        <v>146</v>
      </c>
      <c r="D68" t="s">
        <v>88</v>
      </c>
      <c r="E68" t="s">
        <v>107</v>
      </c>
      <c r="F68" t="s">
        <v>109</v>
      </c>
      <c r="G68" t="s">
        <v>103</v>
      </c>
    </row>
    <row r="69" spans="1:7">
      <c r="A69" s="12">
        <v>46271</v>
      </c>
      <c r="B69" t="s">
        <v>62</v>
      </c>
      <c r="C69" t="s">
        <v>147</v>
      </c>
    </row>
    <row r="70" spans="1:7">
      <c r="A70" s="12">
        <v>46272</v>
      </c>
      <c r="B70" t="s">
        <v>64</v>
      </c>
      <c r="C70" t="s">
        <v>148</v>
      </c>
    </row>
    <row r="71" spans="1:7">
      <c r="A71" s="12">
        <v>46273</v>
      </c>
      <c r="B71" t="s">
        <v>66</v>
      </c>
      <c r="C71" t="s">
        <v>149</v>
      </c>
    </row>
    <row r="72" spans="1:7">
      <c r="A72" s="12">
        <v>46274</v>
      </c>
      <c r="B72" t="s">
        <v>50</v>
      </c>
      <c r="C72" t="s">
        <v>150</v>
      </c>
    </row>
    <row r="73" spans="1:7">
      <c r="A73" s="12">
        <v>46275</v>
      </c>
      <c r="B73" t="s">
        <v>52</v>
      </c>
      <c r="C73" t="s">
        <v>151</v>
      </c>
    </row>
    <row r="74" spans="1:7">
      <c r="A74" s="12">
        <v>46276</v>
      </c>
      <c r="B74" t="s">
        <v>56</v>
      </c>
      <c r="C74" t="s">
        <v>152</v>
      </c>
      <c r="D74" t="s">
        <v>58</v>
      </c>
      <c r="E74" t="s">
        <v>107</v>
      </c>
      <c r="F74" t="s">
        <v>108</v>
      </c>
      <c r="G74" t="s">
        <v>103</v>
      </c>
    </row>
    <row r="75" spans="1:7">
      <c r="A75" s="12">
        <v>46277</v>
      </c>
      <c r="B75" t="s">
        <v>59</v>
      </c>
      <c r="C75" t="s">
        <v>153</v>
      </c>
      <c r="D75" t="s">
        <v>154</v>
      </c>
      <c r="E75" t="s">
        <v>99</v>
      </c>
      <c r="F75" t="s">
        <v>155</v>
      </c>
      <c r="G75" t="s">
        <v>103</v>
      </c>
    </row>
    <row r="76" spans="1:7">
      <c r="A76" s="12">
        <v>46278</v>
      </c>
      <c r="B76" t="s">
        <v>62</v>
      </c>
      <c r="C76" t="s">
        <v>156</v>
      </c>
      <c r="D76" t="s">
        <v>154</v>
      </c>
      <c r="E76" t="s">
        <v>99</v>
      </c>
      <c r="F76" t="s">
        <v>155</v>
      </c>
      <c r="G76" t="s">
        <v>103</v>
      </c>
    </row>
    <row r="77" spans="1:7">
      <c r="A77" s="12">
        <v>46279</v>
      </c>
      <c r="B77" t="s">
        <v>64</v>
      </c>
      <c r="C77" t="s">
        <v>157</v>
      </c>
    </row>
    <row r="78" spans="1:7">
      <c r="A78" s="12">
        <v>46280</v>
      </c>
      <c r="B78" t="s">
        <v>66</v>
      </c>
      <c r="C78" t="s">
        <v>158</v>
      </c>
    </row>
    <row r="79" spans="1:7">
      <c r="A79" s="12">
        <v>46281</v>
      </c>
      <c r="B79" t="s">
        <v>50</v>
      </c>
      <c r="C79" t="s">
        <v>159</v>
      </c>
    </row>
    <row r="80" spans="1:7">
      <c r="A80" s="12">
        <v>46282</v>
      </c>
      <c r="B80" t="s">
        <v>52</v>
      </c>
      <c r="C80" t="s">
        <v>160</v>
      </c>
    </row>
    <row r="81" spans="1:7">
      <c r="A81" s="12">
        <v>46283</v>
      </c>
      <c r="B81" t="s">
        <v>56</v>
      </c>
      <c r="C81" t="s">
        <v>161</v>
      </c>
      <c r="D81" t="s">
        <v>58</v>
      </c>
      <c r="E81" t="s">
        <v>107</v>
      </c>
      <c r="F81" t="s">
        <v>108</v>
      </c>
      <c r="G81" t="s">
        <v>103</v>
      </c>
    </row>
    <row r="82" spans="1:7">
      <c r="A82" s="12">
        <v>46284</v>
      </c>
      <c r="B82" t="s">
        <v>59</v>
      </c>
      <c r="C82" t="s">
        <v>162</v>
      </c>
      <c r="D82" t="s">
        <v>88</v>
      </c>
      <c r="E82" t="s">
        <v>107</v>
      </c>
      <c r="F82" t="s">
        <v>109</v>
      </c>
      <c r="G82" t="s">
        <v>103</v>
      </c>
    </row>
    <row r="83" spans="1:7">
      <c r="A83" s="12">
        <v>46285</v>
      </c>
      <c r="B83" t="s">
        <v>62</v>
      </c>
      <c r="C83" t="s">
        <v>163</v>
      </c>
    </row>
    <row r="84" spans="1:7">
      <c r="A84" s="12">
        <v>46286</v>
      </c>
      <c r="B84" t="s">
        <v>64</v>
      </c>
      <c r="C84" t="s">
        <v>164</v>
      </c>
      <c r="D84" t="s">
        <v>165</v>
      </c>
      <c r="E84" t="s">
        <v>104</v>
      </c>
      <c r="F84" t="s">
        <v>166</v>
      </c>
      <c r="G84" t="s">
        <v>106</v>
      </c>
    </row>
    <row r="85" spans="1:7">
      <c r="A85" s="12">
        <v>46287</v>
      </c>
      <c r="B85" t="s">
        <v>66</v>
      </c>
      <c r="C85" t="s">
        <v>167</v>
      </c>
    </row>
    <row r="86" spans="1:7">
      <c r="A86" s="12">
        <v>46288</v>
      </c>
      <c r="B86" t="s">
        <v>50</v>
      </c>
      <c r="C86" t="s">
        <v>168</v>
      </c>
    </row>
    <row r="87" spans="1:7">
      <c r="A87" s="12">
        <v>46289</v>
      </c>
      <c r="B87" t="s">
        <v>52</v>
      </c>
      <c r="C87" t="s">
        <v>169</v>
      </c>
    </row>
    <row r="88" spans="1:7">
      <c r="A88" s="12">
        <v>46290</v>
      </c>
      <c r="B88" t="s">
        <v>56</v>
      </c>
      <c r="C88" t="s">
        <v>170</v>
      </c>
      <c r="D88" t="s">
        <v>58</v>
      </c>
      <c r="E88" t="s">
        <v>107</v>
      </c>
      <c r="F88" t="s">
        <v>108</v>
      </c>
      <c r="G88" t="s">
        <v>103</v>
      </c>
    </row>
    <row r="89" spans="1:7">
      <c r="A89" s="12">
        <v>46291</v>
      </c>
      <c r="B89" t="s">
        <v>59</v>
      </c>
      <c r="C89" t="s">
        <v>171</v>
      </c>
      <c r="D89" t="s">
        <v>172</v>
      </c>
      <c r="E89" t="s">
        <v>99</v>
      </c>
      <c r="F89" t="s">
        <v>173</v>
      </c>
      <c r="G89" t="s">
        <v>103</v>
      </c>
    </row>
    <row r="90" spans="1:7">
      <c r="A90" s="12">
        <v>46292</v>
      </c>
      <c r="B90" t="s">
        <v>62</v>
      </c>
      <c r="C90" t="s">
        <v>174</v>
      </c>
      <c r="D90" t="s">
        <v>172</v>
      </c>
      <c r="E90" t="s">
        <v>99</v>
      </c>
      <c r="F90" t="s">
        <v>173</v>
      </c>
      <c r="G90" t="s">
        <v>103</v>
      </c>
    </row>
    <row r="91" spans="1:7">
      <c r="A91" s="12">
        <v>46293</v>
      </c>
      <c r="B91" t="s">
        <v>64</v>
      </c>
      <c r="C91" t="s">
        <v>175</v>
      </c>
      <c r="D91" t="s">
        <v>172</v>
      </c>
      <c r="E91" t="s">
        <v>99</v>
      </c>
      <c r="F91" t="s">
        <v>173</v>
      </c>
      <c r="G91" t="s">
        <v>103</v>
      </c>
    </row>
    <row r="92" spans="1:7">
      <c r="A92" s="12">
        <v>46294</v>
      </c>
      <c r="B92" t="s">
        <v>66</v>
      </c>
      <c r="C92" t="s">
        <v>176</v>
      </c>
      <c r="D92" t="s">
        <v>172</v>
      </c>
      <c r="E92" t="s">
        <v>99</v>
      </c>
      <c r="F92" t="s">
        <v>173</v>
      </c>
      <c r="G92" t="s">
        <v>103</v>
      </c>
    </row>
    <row r="93" spans="1:7">
      <c r="A93" s="12">
        <v>46295</v>
      </c>
      <c r="B93" t="s">
        <v>50</v>
      </c>
      <c r="C93" t="s">
        <v>177</v>
      </c>
      <c r="D93" t="s">
        <v>172</v>
      </c>
      <c r="E93" t="s">
        <v>99</v>
      </c>
      <c r="F93" t="s">
        <v>173</v>
      </c>
      <c r="G93" t="s">
        <v>103</v>
      </c>
    </row>
    <row r="94" spans="1:7">
      <c r="A94" s="12">
        <v>46296</v>
      </c>
      <c r="B94" t="s">
        <v>52</v>
      </c>
      <c r="C94" t="s">
        <v>178</v>
      </c>
      <c r="D94" t="s">
        <v>172</v>
      </c>
      <c r="E94" t="s">
        <v>99</v>
      </c>
      <c r="F94" t="s">
        <v>173</v>
      </c>
      <c r="G94" t="s">
        <v>103</v>
      </c>
    </row>
    <row r="95" spans="1:7">
      <c r="A95" s="12">
        <v>46297</v>
      </c>
      <c r="B95" t="s">
        <v>56</v>
      </c>
      <c r="C95" t="s">
        <v>179</v>
      </c>
      <c r="D95" t="s">
        <v>172</v>
      </c>
      <c r="E95" t="s">
        <v>99</v>
      </c>
      <c r="F95" t="s">
        <v>173</v>
      </c>
      <c r="G95" t="s">
        <v>103</v>
      </c>
    </row>
    <row r="96" spans="1:7">
      <c r="A96" s="12">
        <v>46298</v>
      </c>
      <c r="B96" t="s">
        <v>59</v>
      </c>
      <c r="C96" t="s">
        <v>180</v>
      </c>
      <c r="D96" t="s">
        <v>88</v>
      </c>
      <c r="E96" t="s">
        <v>107</v>
      </c>
      <c r="F96" t="s">
        <v>109</v>
      </c>
      <c r="G96" t="s">
        <v>103</v>
      </c>
    </row>
    <row r="97" spans="1:7">
      <c r="A97" s="12">
        <v>46299</v>
      </c>
      <c r="B97" t="s">
        <v>62</v>
      </c>
      <c r="C97" t="s">
        <v>181</v>
      </c>
    </row>
    <row r="98" spans="1:7">
      <c r="A98" s="12">
        <v>46300</v>
      </c>
      <c r="B98" t="s">
        <v>64</v>
      </c>
      <c r="C98" t="s">
        <v>182</v>
      </c>
    </row>
    <row r="99" spans="1:7">
      <c r="A99" s="12">
        <v>46301</v>
      </c>
      <c r="B99" t="s">
        <v>66</v>
      </c>
      <c r="C99" t="s">
        <v>183</v>
      </c>
    </row>
    <row r="100" spans="1:7">
      <c r="A100" s="12">
        <v>46302</v>
      </c>
      <c r="B100" t="s">
        <v>50</v>
      </c>
      <c r="C100" t="s">
        <v>184</v>
      </c>
    </row>
    <row r="101" spans="1:7">
      <c r="A101" s="12">
        <v>46303</v>
      </c>
      <c r="B101" t="s">
        <v>52</v>
      </c>
      <c r="C101" t="s">
        <v>185</v>
      </c>
    </row>
    <row r="102" spans="1:7">
      <c r="A102" s="12">
        <v>46304</v>
      </c>
      <c r="B102" t="s">
        <v>56</v>
      </c>
      <c r="C102" t="s">
        <v>186</v>
      </c>
      <c r="D102" t="s">
        <v>58</v>
      </c>
      <c r="E102" t="s">
        <v>107</v>
      </c>
      <c r="F102" t="s">
        <v>108</v>
      </c>
      <c r="G102" t="s">
        <v>103</v>
      </c>
    </row>
    <row r="103" spans="1:7">
      <c r="A103" s="12">
        <v>46305</v>
      </c>
      <c r="B103" t="s">
        <v>59</v>
      </c>
      <c r="C103" t="s">
        <v>187</v>
      </c>
      <c r="D103" t="s">
        <v>88</v>
      </c>
      <c r="E103" t="s">
        <v>107</v>
      </c>
      <c r="F103" t="s">
        <v>109</v>
      </c>
      <c r="G103" t="s">
        <v>103</v>
      </c>
    </row>
    <row r="104" spans="1:7">
      <c r="A104" s="12">
        <v>46306</v>
      </c>
      <c r="B104" t="s">
        <v>62</v>
      </c>
      <c r="C104" t="s">
        <v>188</v>
      </c>
    </row>
    <row r="105" spans="1:7">
      <c r="A105" s="12">
        <v>46307</v>
      </c>
      <c r="B105" t="s">
        <v>64</v>
      </c>
      <c r="C105" t="s">
        <v>189</v>
      </c>
    </row>
    <row r="106" spans="1:7">
      <c r="A106" s="12">
        <v>46308</v>
      </c>
      <c r="B106" t="s">
        <v>66</v>
      </c>
      <c r="C106" t="s">
        <v>190</v>
      </c>
    </row>
    <row r="107" spans="1:7">
      <c r="A107" s="12">
        <v>46309</v>
      </c>
      <c r="B107" t="s">
        <v>50</v>
      </c>
      <c r="C107" t="s">
        <v>191</v>
      </c>
    </row>
    <row r="108" spans="1:7">
      <c r="A108" s="12">
        <v>46310</v>
      </c>
      <c r="B108" t="s">
        <v>52</v>
      </c>
      <c r="C108" t="s">
        <v>192</v>
      </c>
    </row>
    <row r="109" spans="1:7">
      <c r="A109" s="12">
        <v>46311</v>
      </c>
      <c r="B109" t="s">
        <v>56</v>
      </c>
      <c r="C109" t="s">
        <v>193</v>
      </c>
      <c r="D109" t="s">
        <v>58</v>
      </c>
      <c r="E109" t="s">
        <v>107</v>
      </c>
      <c r="F109" t="s">
        <v>108</v>
      </c>
      <c r="G109" t="s">
        <v>103</v>
      </c>
    </row>
    <row r="110" spans="1:7">
      <c r="A110" s="12">
        <v>46312</v>
      </c>
      <c r="B110" t="s">
        <v>59</v>
      </c>
      <c r="C110" t="s">
        <v>194</v>
      </c>
      <c r="D110" t="s">
        <v>88</v>
      </c>
      <c r="E110" t="s">
        <v>107</v>
      </c>
      <c r="F110" t="s">
        <v>109</v>
      </c>
      <c r="G110" t="s">
        <v>103</v>
      </c>
    </row>
    <row r="111" spans="1:7">
      <c r="A111" s="12">
        <v>46313</v>
      </c>
      <c r="B111" t="s">
        <v>62</v>
      </c>
      <c r="C111" t="s">
        <v>195</v>
      </c>
    </row>
    <row r="112" spans="1:7">
      <c r="A112" s="12">
        <v>46314</v>
      </c>
      <c r="B112" t="s">
        <v>64</v>
      </c>
      <c r="C112" t="s">
        <v>196</v>
      </c>
    </row>
    <row r="113" spans="1:7">
      <c r="A113" s="12">
        <v>46315</v>
      </c>
      <c r="B113" t="s">
        <v>66</v>
      </c>
      <c r="C113" t="s">
        <v>197</v>
      </c>
    </row>
    <row r="114" spans="1:7">
      <c r="A114" s="12">
        <v>46316</v>
      </c>
      <c r="B114" t="s">
        <v>50</v>
      </c>
      <c r="C114" t="s">
        <v>198</v>
      </c>
    </row>
    <row r="115" spans="1:7">
      <c r="A115" s="12">
        <v>46317</v>
      </c>
      <c r="B115" t="s">
        <v>52</v>
      </c>
      <c r="C115" t="s">
        <v>199</v>
      </c>
    </row>
    <row r="116" spans="1:7">
      <c r="A116" s="12">
        <v>46318</v>
      </c>
      <c r="B116" t="s">
        <v>56</v>
      </c>
      <c r="C116" t="s">
        <v>200</v>
      </c>
      <c r="D116" t="s">
        <v>58</v>
      </c>
      <c r="E116" t="s">
        <v>107</v>
      </c>
      <c r="F116" t="s">
        <v>108</v>
      </c>
      <c r="G116" t="s">
        <v>103</v>
      </c>
    </row>
    <row r="117" spans="1:7">
      <c r="A117" s="12">
        <v>46319</v>
      </c>
      <c r="B117" t="s">
        <v>59</v>
      </c>
      <c r="C117" t="s">
        <v>201</v>
      </c>
      <c r="D117" t="s">
        <v>88</v>
      </c>
      <c r="E117" t="s">
        <v>107</v>
      </c>
      <c r="F117" t="s">
        <v>109</v>
      </c>
      <c r="G117" t="s">
        <v>103</v>
      </c>
    </row>
    <row r="118" spans="1:7">
      <c r="A118" s="12">
        <v>46320</v>
      </c>
      <c r="B118" t="s">
        <v>62</v>
      </c>
      <c r="C118" t="s">
        <v>202</v>
      </c>
    </row>
    <row r="119" spans="1:7">
      <c r="A119" s="12">
        <v>46321</v>
      </c>
      <c r="B119" t="s">
        <v>64</v>
      </c>
      <c r="C119" t="s">
        <v>203</v>
      </c>
    </row>
    <row r="120" spans="1:7">
      <c r="A120" s="12">
        <v>46322</v>
      </c>
      <c r="B120" t="s">
        <v>66</v>
      </c>
      <c r="C120" t="s">
        <v>204</v>
      </c>
    </row>
    <row r="121" spans="1:7">
      <c r="A121" s="12">
        <v>46323</v>
      </c>
      <c r="B121" t="s">
        <v>50</v>
      </c>
      <c r="C121" t="s">
        <v>205</v>
      </c>
    </row>
    <row r="122" spans="1:7">
      <c r="A122" s="12">
        <v>46324</v>
      </c>
      <c r="B122" t="s">
        <v>52</v>
      </c>
      <c r="C122" t="s">
        <v>206</v>
      </c>
    </row>
    <row r="123" spans="1:7">
      <c r="A123" s="12">
        <v>46325</v>
      </c>
      <c r="B123" t="s">
        <v>56</v>
      </c>
      <c r="C123" t="s">
        <v>207</v>
      </c>
      <c r="D123" t="s">
        <v>58</v>
      </c>
      <c r="E123" t="s">
        <v>107</v>
      </c>
      <c r="F123" t="s">
        <v>108</v>
      </c>
      <c r="G123" t="s">
        <v>103</v>
      </c>
    </row>
    <row r="124" spans="1:7">
      <c r="A124" s="12">
        <v>46326</v>
      </c>
      <c r="B124" t="s">
        <v>59</v>
      </c>
      <c r="C124" t="s">
        <v>208</v>
      </c>
      <c r="D124" t="s">
        <v>88</v>
      </c>
      <c r="E124" t="s">
        <v>107</v>
      </c>
      <c r="F124" t="s">
        <v>109</v>
      </c>
      <c r="G124" t="s">
        <v>103</v>
      </c>
    </row>
    <row r="125" spans="1:7">
      <c r="A125" s="12">
        <v>46327</v>
      </c>
      <c r="B125" t="s">
        <v>62</v>
      </c>
      <c r="C125" t="s">
        <v>209</v>
      </c>
    </row>
    <row r="126" spans="1:7">
      <c r="A126" s="12">
        <v>46328</v>
      </c>
      <c r="B126" t="s">
        <v>64</v>
      </c>
      <c r="C126" t="s">
        <v>210</v>
      </c>
    </row>
    <row r="127" spans="1:7">
      <c r="A127" s="12">
        <v>46329</v>
      </c>
      <c r="B127" t="s">
        <v>66</v>
      </c>
      <c r="C127" t="s">
        <v>211</v>
      </c>
    </row>
    <row r="128" spans="1:7">
      <c r="A128" s="12">
        <v>46330</v>
      </c>
      <c r="B128" t="s">
        <v>50</v>
      </c>
      <c r="C128" t="s">
        <v>212</v>
      </c>
    </row>
    <row r="129" spans="1:7">
      <c r="A129" s="12">
        <v>46331</v>
      </c>
      <c r="B129" t="s">
        <v>52</v>
      </c>
      <c r="C129" t="s">
        <v>213</v>
      </c>
    </row>
    <row r="130" spans="1:7">
      <c r="A130" s="12">
        <v>46332</v>
      </c>
      <c r="B130" t="s">
        <v>56</v>
      </c>
      <c r="C130" t="s">
        <v>214</v>
      </c>
      <c r="D130" t="s">
        <v>58</v>
      </c>
      <c r="E130" t="s">
        <v>107</v>
      </c>
      <c r="F130" t="s">
        <v>108</v>
      </c>
      <c r="G130" t="s">
        <v>103</v>
      </c>
    </row>
    <row r="131" spans="1:7">
      <c r="A131" s="12">
        <v>46333</v>
      </c>
      <c r="B131" t="s">
        <v>59</v>
      </c>
      <c r="C131" t="s">
        <v>215</v>
      </c>
      <c r="D131" t="s">
        <v>88</v>
      </c>
      <c r="E131" t="s">
        <v>107</v>
      </c>
      <c r="F131" t="s">
        <v>109</v>
      </c>
      <c r="G131" t="s">
        <v>103</v>
      </c>
    </row>
    <row r="132" spans="1:7">
      <c r="A132" s="12">
        <v>46334</v>
      </c>
      <c r="B132" t="s">
        <v>62</v>
      </c>
      <c r="C132" t="s">
        <v>216</v>
      </c>
    </row>
    <row r="133" spans="1:7">
      <c r="A133" s="12">
        <v>46335</v>
      </c>
      <c r="B133" t="s">
        <v>64</v>
      </c>
      <c r="C133" t="s">
        <v>217</v>
      </c>
    </row>
    <row r="134" spans="1:7">
      <c r="A134" s="12">
        <v>46336</v>
      </c>
      <c r="B134" t="s">
        <v>66</v>
      </c>
      <c r="C134" t="s">
        <v>218</v>
      </c>
    </row>
    <row r="135" spans="1:7">
      <c r="A135" s="12">
        <v>46337</v>
      </c>
      <c r="B135" t="s">
        <v>50</v>
      </c>
      <c r="C135" t="s">
        <v>219</v>
      </c>
    </row>
    <row r="136" spans="1:7">
      <c r="A136" s="12">
        <v>46338</v>
      </c>
      <c r="B136" t="s">
        <v>52</v>
      </c>
      <c r="C136" t="s">
        <v>220</v>
      </c>
    </row>
    <row r="137" spans="1:7">
      <c r="A137" s="12">
        <v>46339</v>
      </c>
      <c r="B137" t="s">
        <v>56</v>
      </c>
      <c r="C137" t="s">
        <v>221</v>
      </c>
      <c r="D137" t="s">
        <v>58</v>
      </c>
      <c r="E137" t="s">
        <v>107</v>
      </c>
      <c r="F137" t="s">
        <v>108</v>
      </c>
      <c r="G137" t="s">
        <v>103</v>
      </c>
    </row>
    <row r="138" spans="1:7">
      <c r="A138" s="12">
        <v>46340</v>
      </c>
      <c r="B138" t="s">
        <v>59</v>
      </c>
      <c r="C138" t="s">
        <v>222</v>
      </c>
      <c r="D138" t="s">
        <v>88</v>
      </c>
      <c r="E138" t="s">
        <v>107</v>
      </c>
      <c r="F138" t="s">
        <v>109</v>
      </c>
      <c r="G138" t="s">
        <v>103</v>
      </c>
    </row>
    <row r="139" spans="1:7">
      <c r="A139" s="12">
        <v>46341</v>
      </c>
      <c r="B139" t="s">
        <v>62</v>
      </c>
      <c r="C139" t="s">
        <v>223</v>
      </c>
    </row>
    <row r="140" spans="1:7">
      <c r="A140" s="12">
        <v>46342</v>
      </c>
      <c r="B140" t="s">
        <v>64</v>
      </c>
      <c r="C140" t="s">
        <v>224</v>
      </c>
    </row>
    <row r="141" spans="1:7">
      <c r="A141" s="12">
        <v>46343</v>
      </c>
      <c r="B141" t="s">
        <v>66</v>
      </c>
      <c r="C141" t="s">
        <v>225</v>
      </c>
    </row>
    <row r="142" spans="1:7">
      <c r="A142" s="12">
        <v>46344</v>
      </c>
      <c r="B142" t="s">
        <v>50</v>
      </c>
      <c r="C142" t="s">
        <v>226</v>
      </c>
    </row>
    <row r="143" spans="1:7">
      <c r="A143" s="12">
        <v>46345</v>
      </c>
      <c r="B143" t="s">
        <v>52</v>
      </c>
      <c r="C143" t="s">
        <v>227</v>
      </c>
    </row>
    <row r="144" spans="1:7">
      <c r="A144" s="12">
        <v>46346</v>
      </c>
      <c r="B144" t="s">
        <v>56</v>
      </c>
      <c r="C144" t="s">
        <v>228</v>
      </c>
      <c r="D144" t="s">
        <v>58</v>
      </c>
      <c r="E144" t="s">
        <v>107</v>
      </c>
      <c r="F144" t="s">
        <v>108</v>
      </c>
      <c r="G144" t="s">
        <v>103</v>
      </c>
    </row>
    <row r="145" spans="1:7">
      <c r="A145" s="12">
        <v>46347</v>
      </c>
      <c r="B145" t="s">
        <v>59</v>
      </c>
      <c r="C145" t="s">
        <v>229</v>
      </c>
      <c r="D145" t="s">
        <v>88</v>
      </c>
      <c r="E145" t="s">
        <v>107</v>
      </c>
      <c r="F145" t="s">
        <v>109</v>
      </c>
      <c r="G145" t="s">
        <v>103</v>
      </c>
    </row>
    <row r="146" spans="1:7">
      <c r="A146" s="12">
        <v>46348</v>
      </c>
      <c r="B146" t="s">
        <v>62</v>
      </c>
      <c r="C146" t="s">
        <v>230</v>
      </c>
    </row>
    <row r="147" spans="1:7">
      <c r="A147" s="12">
        <v>46349</v>
      </c>
      <c r="B147" t="s">
        <v>64</v>
      </c>
      <c r="C147" t="s">
        <v>231</v>
      </c>
    </row>
    <row r="148" spans="1:7">
      <c r="A148" s="12">
        <v>46350</v>
      </c>
      <c r="B148" t="s">
        <v>66</v>
      </c>
      <c r="C148" t="s">
        <v>232</v>
      </c>
    </row>
    <row r="149" spans="1:7">
      <c r="A149" s="12">
        <v>46351</v>
      </c>
      <c r="B149" t="s">
        <v>50</v>
      </c>
      <c r="C149" t="s">
        <v>233</v>
      </c>
    </row>
    <row r="150" spans="1:7">
      <c r="A150" s="12">
        <v>46352</v>
      </c>
      <c r="B150" t="s">
        <v>52</v>
      </c>
      <c r="C150" t="s">
        <v>234</v>
      </c>
    </row>
    <row r="151" spans="1:7">
      <c r="A151" s="12">
        <v>46353</v>
      </c>
      <c r="B151" t="s">
        <v>56</v>
      </c>
      <c r="C151" t="s">
        <v>235</v>
      </c>
      <c r="D151" t="s">
        <v>58</v>
      </c>
      <c r="E151" t="s">
        <v>107</v>
      </c>
      <c r="F151" t="s">
        <v>108</v>
      </c>
      <c r="G151" t="s">
        <v>103</v>
      </c>
    </row>
    <row r="152" spans="1:7">
      <c r="A152" s="12">
        <v>46354</v>
      </c>
      <c r="B152" t="s">
        <v>59</v>
      </c>
      <c r="C152" t="s">
        <v>236</v>
      </c>
      <c r="D152" t="s">
        <v>88</v>
      </c>
      <c r="E152" t="s">
        <v>107</v>
      </c>
      <c r="F152" t="s">
        <v>109</v>
      </c>
      <c r="G152" t="s">
        <v>103</v>
      </c>
    </row>
    <row r="153" spans="1:7">
      <c r="A153" s="12">
        <v>46355</v>
      </c>
      <c r="B153" t="s">
        <v>62</v>
      </c>
      <c r="C153" t="s">
        <v>237</v>
      </c>
    </row>
    <row r="154" spans="1:7">
      <c r="A154" s="12">
        <v>46356</v>
      </c>
      <c r="B154" t="s">
        <v>64</v>
      </c>
      <c r="C154" t="s">
        <v>238</v>
      </c>
    </row>
    <row r="155" spans="1:7">
      <c r="A155" s="12">
        <v>46357</v>
      </c>
      <c r="B155" t="s">
        <v>66</v>
      </c>
      <c r="C155" t="s">
        <v>239</v>
      </c>
    </row>
    <row r="156" spans="1:7">
      <c r="A156" s="12">
        <v>46358</v>
      </c>
      <c r="B156" t="s">
        <v>50</v>
      </c>
      <c r="C156" t="s">
        <v>240</v>
      </c>
    </row>
    <row r="157" spans="1:7">
      <c r="A157" s="12">
        <v>46359</v>
      </c>
      <c r="B157" t="s">
        <v>52</v>
      </c>
      <c r="C157" t="s">
        <v>241</v>
      </c>
    </row>
    <row r="158" spans="1:7">
      <c r="A158" s="12">
        <v>46360</v>
      </c>
      <c r="B158" t="s">
        <v>56</v>
      </c>
      <c r="C158" t="s">
        <v>242</v>
      </c>
      <c r="D158" t="s">
        <v>58</v>
      </c>
      <c r="E158" t="s">
        <v>107</v>
      </c>
      <c r="F158" t="s">
        <v>108</v>
      </c>
      <c r="G158" t="s">
        <v>103</v>
      </c>
    </row>
    <row r="159" spans="1:7">
      <c r="A159" s="12">
        <v>46361</v>
      </c>
      <c r="B159" t="s">
        <v>59</v>
      </c>
      <c r="C159" t="s">
        <v>243</v>
      </c>
      <c r="D159" t="s">
        <v>244</v>
      </c>
      <c r="E159" t="s">
        <v>99</v>
      </c>
      <c r="F159" t="s">
        <v>245</v>
      </c>
      <c r="G159" t="s">
        <v>101</v>
      </c>
    </row>
    <row r="160" spans="1:7">
      <c r="A160" s="12">
        <v>46362</v>
      </c>
      <c r="B160" t="s">
        <v>62</v>
      </c>
      <c r="C160" t="s">
        <v>246</v>
      </c>
      <c r="D160" t="s">
        <v>244</v>
      </c>
      <c r="E160" t="s">
        <v>99</v>
      </c>
      <c r="F160" t="s">
        <v>245</v>
      </c>
      <c r="G160" t="s">
        <v>101</v>
      </c>
    </row>
    <row r="161" spans="1:7">
      <c r="A161" s="12">
        <v>46363</v>
      </c>
      <c r="B161" t="s">
        <v>64</v>
      </c>
      <c r="C161" t="s">
        <v>247</v>
      </c>
      <c r="D161" t="s">
        <v>244</v>
      </c>
      <c r="E161" t="s">
        <v>99</v>
      </c>
      <c r="F161" t="s">
        <v>245</v>
      </c>
      <c r="G161" t="s">
        <v>101</v>
      </c>
    </row>
    <row r="162" spans="1:7">
      <c r="A162" s="12">
        <v>46364</v>
      </c>
      <c r="B162" t="s">
        <v>66</v>
      </c>
      <c r="C162" t="s">
        <v>248</v>
      </c>
      <c r="D162" t="s">
        <v>244</v>
      </c>
      <c r="E162" t="s">
        <v>99</v>
      </c>
      <c r="F162" t="s">
        <v>245</v>
      </c>
      <c r="G162" t="s">
        <v>101</v>
      </c>
    </row>
    <row r="163" spans="1:7">
      <c r="A163" s="12">
        <v>46365</v>
      </c>
      <c r="B163" t="s">
        <v>50</v>
      </c>
      <c r="C163" t="s">
        <v>249</v>
      </c>
      <c r="D163" t="s">
        <v>244</v>
      </c>
      <c r="E163" t="s">
        <v>99</v>
      </c>
      <c r="F163" t="s">
        <v>245</v>
      </c>
      <c r="G163" t="s">
        <v>101</v>
      </c>
    </row>
    <row r="164" spans="1:7">
      <c r="A164" s="12">
        <v>46366</v>
      </c>
      <c r="B164" t="s">
        <v>52</v>
      </c>
      <c r="C164" t="s">
        <v>250</v>
      </c>
      <c r="D164" t="s">
        <v>244</v>
      </c>
      <c r="E164" t="s">
        <v>99</v>
      </c>
      <c r="F164" t="s">
        <v>245</v>
      </c>
      <c r="G164" t="s">
        <v>101</v>
      </c>
    </row>
    <row r="165" spans="1:7">
      <c r="A165" s="12">
        <v>46367</v>
      </c>
      <c r="B165" t="s">
        <v>56</v>
      </c>
      <c r="C165" t="s">
        <v>251</v>
      </c>
      <c r="D165" t="s">
        <v>244</v>
      </c>
      <c r="E165" t="s">
        <v>99</v>
      </c>
      <c r="F165" t="s">
        <v>245</v>
      </c>
      <c r="G165" t="s">
        <v>101</v>
      </c>
    </row>
    <row r="166" spans="1:7">
      <c r="A166" s="12">
        <v>46368</v>
      </c>
      <c r="B166" t="s">
        <v>59</v>
      </c>
      <c r="C166" t="s">
        <v>252</v>
      </c>
      <c r="D166" t="s">
        <v>244</v>
      </c>
      <c r="E166" t="s">
        <v>99</v>
      </c>
      <c r="F166" t="s">
        <v>245</v>
      </c>
      <c r="G166" t="s">
        <v>101</v>
      </c>
    </row>
    <row r="167" spans="1:7">
      <c r="A167" s="12">
        <v>46369</v>
      </c>
      <c r="B167" t="s">
        <v>62</v>
      </c>
      <c r="C167" t="s">
        <v>253</v>
      </c>
    </row>
    <row r="168" spans="1:7">
      <c r="A168" s="12">
        <v>46370</v>
      </c>
      <c r="B168" t="s">
        <v>64</v>
      </c>
      <c r="C168" t="s">
        <v>254</v>
      </c>
    </row>
    <row r="169" spans="1:7">
      <c r="A169" s="12">
        <v>46371</v>
      </c>
      <c r="B169" t="s">
        <v>66</v>
      </c>
      <c r="C169" t="s">
        <v>255</v>
      </c>
    </row>
    <row r="170" spans="1:7">
      <c r="A170" s="12">
        <v>46372</v>
      </c>
      <c r="B170" t="s">
        <v>50</v>
      </c>
      <c r="C170" t="s">
        <v>256</v>
      </c>
    </row>
    <row r="171" spans="1:7">
      <c r="A171" s="12">
        <v>46373</v>
      </c>
      <c r="B171" t="s">
        <v>52</v>
      </c>
      <c r="C171" t="s">
        <v>257</v>
      </c>
    </row>
    <row r="172" spans="1:7">
      <c r="A172" s="12">
        <v>46374</v>
      </c>
      <c r="B172" t="s">
        <v>56</v>
      </c>
      <c r="C172" t="s">
        <v>258</v>
      </c>
      <c r="D172" t="s">
        <v>58</v>
      </c>
      <c r="E172" t="s">
        <v>107</v>
      </c>
      <c r="F172" t="s">
        <v>108</v>
      </c>
      <c r="G172" t="s">
        <v>103</v>
      </c>
    </row>
    <row r="173" spans="1:7">
      <c r="A173" s="12">
        <v>46375</v>
      </c>
      <c r="B173" t="s">
        <v>59</v>
      </c>
      <c r="C173" t="s">
        <v>259</v>
      </c>
      <c r="D173" t="s">
        <v>88</v>
      </c>
      <c r="E173" t="s">
        <v>107</v>
      </c>
      <c r="F173" t="s">
        <v>109</v>
      </c>
      <c r="G173" t="s">
        <v>103</v>
      </c>
    </row>
    <row r="174" spans="1:7">
      <c r="A174" s="12">
        <v>46376</v>
      </c>
      <c r="B174" t="s">
        <v>62</v>
      </c>
      <c r="C174" t="s">
        <v>260</v>
      </c>
    </row>
    <row r="175" spans="1:7">
      <c r="A175" s="12">
        <v>46377</v>
      </c>
      <c r="B175" t="s">
        <v>64</v>
      </c>
      <c r="C175" t="s">
        <v>261</v>
      </c>
    </row>
    <row r="176" spans="1:7">
      <c r="A176" s="12">
        <v>46378</v>
      </c>
      <c r="B176" t="s">
        <v>66</v>
      </c>
      <c r="C176" t="s">
        <v>262</v>
      </c>
    </row>
    <row r="177" spans="1:7">
      <c r="A177" s="12">
        <v>46379</v>
      </c>
      <c r="B177" t="s">
        <v>50</v>
      </c>
      <c r="C177" t="s">
        <v>263</v>
      </c>
    </row>
    <row r="178" spans="1:7">
      <c r="A178" s="12">
        <v>46380</v>
      </c>
      <c r="B178" t="s">
        <v>52</v>
      </c>
      <c r="C178" t="s">
        <v>264</v>
      </c>
    </row>
    <row r="179" spans="1:7">
      <c r="A179" s="12">
        <v>46381</v>
      </c>
      <c r="B179" t="s">
        <v>56</v>
      </c>
      <c r="C179" t="s">
        <v>265</v>
      </c>
      <c r="D179" t="s">
        <v>58</v>
      </c>
      <c r="E179" t="s">
        <v>107</v>
      </c>
      <c r="F179" t="s">
        <v>108</v>
      </c>
      <c r="G179" t="s">
        <v>103</v>
      </c>
    </row>
    <row r="180" spans="1:7">
      <c r="A180" s="12">
        <v>46382</v>
      </c>
      <c r="B180" t="s">
        <v>59</v>
      </c>
      <c r="C180" t="s">
        <v>266</v>
      </c>
      <c r="D180" t="s">
        <v>88</v>
      </c>
      <c r="E180" t="s">
        <v>107</v>
      </c>
      <c r="F180" t="s">
        <v>109</v>
      </c>
      <c r="G180" t="s">
        <v>103</v>
      </c>
    </row>
    <row r="181" spans="1:7">
      <c r="A181" s="12">
        <v>46383</v>
      </c>
      <c r="B181" t="s">
        <v>62</v>
      </c>
      <c r="C181" t="s">
        <v>267</v>
      </c>
    </row>
    <row r="182" spans="1:7">
      <c r="A182" s="12">
        <v>46384</v>
      </c>
      <c r="B182" t="s">
        <v>64</v>
      </c>
      <c r="C182" t="s">
        <v>268</v>
      </c>
    </row>
    <row r="183" spans="1:7">
      <c r="A183" s="12">
        <v>46385</v>
      </c>
      <c r="B183" t="s">
        <v>66</v>
      </c>
      <c r="C183" t="s">
        <v>269</v>
      </c>
    </row>
    <row r="184" spans="1:7">
      <c r="A184" s="12">
        <v>46386</v>
      </c>
      <c r="B184" t="s">
        <v>50</v>
      </c>
      <c r="C184" t="s">
        <v>270</v>
      </c>
    </row>
    <row r="185" spans="1:7">
      <c r="A185" s="12">
        <v>46387</v>
      </c>
      <c r="B185" t="s">
        <v>52</v>
      </c>
      <c r="C185" t="s">
        <v>271</v>
      </c>
    </row>
    <row r="186" spans="1:7">
      <c r="A186" s="12">
        <v>46388</v>
      </c>
      <c r="B186" t="s">
        <v>56</v>
      </c>
      <c r="C186" t="s">
        <v>272</v>
      </c>
      <c r="D186" t="s">
        <v>58</v>
      </c>
      <c r="E186" t="s">
        <v>107</v>
      </c>
      <c r="F186" t="s">
        <v>108</v>
      </c>
      <c r="G186" t="s">
        <v>103</v>
      </c>
    </row>
    <row r="187" spans="1:7">
      <c r="A187" s="12">
        <v>46389</v>
      </c>
      <c r="B187" t="s">
        <v>59</v>
      </c>
      <c r="C187" t="s">
        <v>273</v>
      </c>
      <c r="D187" t="s">
        <v>88</v>
      </c>
      <c r="E187" t="s">
        <v>107</v>
      </c>
      <c r="F187" t="s">
        <v>109</v>
      </c>
      <c r="G187" t="s">
        <v>103</v>
      </c>
    </row>
    <row r="188" spans="1:7">
      <c r="A188" s="12">
        <v>46390</v>
      </c>
      <c r="B188" t="s">
        <v>62</v>
      </c>
      <c r="C188" t="s">
        <v>274</v>
      </c>
    </row>
    <row r="189" spans="1:7">
      <c r="A189" s="12">
        <v>46391</v>
      </c>
      <c r="B189" t="s">
        <v>64</v>
      </c>
      <c r="C189" t="s">
        <v>275</v>
      </c>
    </row>
    <row r="190" spans="1:7">
      <c r="A190" s="12">
        <v>46392</v>
      </c>
      <c r="B190" t="s">
        <v>66</v>
      </c>
      <c r="C190" t="s">
        <v>276</v>
      </c>
    </row>
    <row r="191" spans="1:7">
      <c r="A191" s="12">
        <v>46393</v>
      </c>
      <c r="B191" t="s">
        <v>50</v>
      </c>
      <c r="C191" t="s">
        <v>277</v>
      </c>
    </row>
    <row r="192" spans="1:7">
      <c r="A192" s="12">
        <v>46394</v>
      </c>
      <c r="B192" t="s">
        <v>52</v>
      </c>
      <c r="C192" t="s">
        <v>278</v>
      </c>
    </row>
    <row r="193" spans="1:7">
      <c r="A193" s="12">
        <v>46395</v>
      </c>
      <c r="B193" t="s">
        <v>56</v>
      </c>
      <c r="C193" t="s">
        <v>279</v>
      </c>
      <c r="D193" t="s">
        <v>58</v>
      </c>
      <c r="E193" t="s">
        <v>107</v>
      </c>
      <c r="F193" t="s">
        <v>108</v>
      </c>
      <c r="G193" t="s">
        <v>103</v>
      </c>
    </row>
    <row r="194" spans="1:7">
      <c r="A194" s="12">
        <v>46396</v>
      </c>
      <c r="B194" t="s">
        <v>59</v>
      </c>
      <c r="C194" t="s">
        <v>280</v>
      </c>
      <c r="D194" t="s">
        <v>88</v>
      </c>
      <c r="E194" t="s">
        <v>107</v>
      </c>
      <c r="F194" t="s">
        <v>109</v>
      </c>
      <c r="G194" t="s">
        <v>103</v>
      </c>
    </row>
    <row r="195" spans="1:7">
      <c r="A195" s="12">
        <v>46397</v>
      </c>
      <c r="B195" t="s">
        <v>62</v>
      </c>
      <c r="C195" t="s">
        <v>281</v>
      </c>
    </row>
    <row r="196" spans="1:7">
      <c r="A196" s="12">
        <v>46398</v>
      </c>
      <c r="B196" t="s">
        <v>64</v>
      </c>
      <c r="C196" t="s">
        <v>282</v>
      </c>
    </row>
    <row r="197" spans="1:7">
      <c r="A197" s="12">
        <v>46399</v>
      </c>
      <c r="B197" t="s">
        <v>66</v>
      </c>
      <c r="C197" t="s">
        <v>283</v>
      </c>
    </row>
    <row r="198" spans="1:7">
      <c r="A198" s="12">
        <v>46400</v>
      </c>
      <c r="B198" t="s">
        <v>50</v>
      </c>
      <c r="C198" t="s">
        <v>284</v>
      </c>
    </row>
    <row r="199" spans="1:7">
      <c r="A199" s="12">
        <v>46401</v>
      </c>
      <c r="B199" t="s">
        <v>52</v>
      </c>
      <c r="C199" t="s">
        <v>285</v>
      </c>
    </row>
    <row r="200" spans="1:7">
      <c r="A200" s="12">
        <v>46402</v>
      </c>
      <c r="B200" t="s">
        <v>56</v>
      </c>
      <c r="C200" t="s">
        <v>286</v>
      </c>
      <c r="D200" t="s">
        <v>58</v>
      </c>
      <c r="E200" t="s">
        <v>107</v>
      </c>
      <c r="F200" t="s">
        <v>108</v>
      </c>
      <c r="G200" t="s">
        <v>103</v>
      </c>
    </row>
    <row r="201" spans="1:7">
      <c r="A201" s="12">
        <v>46403</v>
      </c>
      <c r="B201" t="s">
        <v>59</v>
      </c>
      <c r="C201" t="s">
        <v>287</v>
      </c>
      <c r="D201" t="s">
        <v>88</v>
      </c>
      <c r="E201" t="s">
        <v>107</v>
      </c>
      <c r="F201" t="s">
        <v>109</v>
      </c>
      <c r="G201" t="s">
        <v>103</v>
      </c>
    </row>
    <row r="202" spans="1:7">
      <c r="A202" s="12">
        <v>46404</v>
      </c>
      <c r="B202" t="s">
        <v>62</v>
      </c>
      <c r="C202" t="s">
        <v>288</v>
      </c>
    </row>
    <row r="203" spans="1:7">
      <c r="A203" s="12">
        <v>46405</v>
      </c>
      <c r="B203" t="s">
        <v>64</v>
      </c>
      <c r="C203" t="s">
        <v>289</v>
      </c>
    </row>
    <row r="204" spans="1:7">
      <c r="A204" s="12">
        <v>46406</v>
      </c>
      <c r="B204" t="s">
        <v>66</v>
      </c>
      <c r="C204" t="s">
        <v>290</v>
      </c>
    </row>
    <row r="205" spans="1:7">
      <c r="A205" s="12">
        <v>46407</v>
      </c>
      <c r="B205" t="s">
        <v>50</v>
      </c>
      <c r="C205" t="s">
        <v>291</v>
      </c>
    </row>
    <row r="206" spans="1:7">
      <c r="A206" s="12">
        <v>46408</v>
      </c>
      <c r="B206" t="s">
        <v>52</v>
      </c>
      <c r="C206" t="s">
        <v>292</v>
      </c>
    </row>
    <row r="207" spans="1:7">
      <c r="A207" s="12">
        <v>46409</v>
      </c>
      <c r="B207" t="s">
        <v>56</v>
      </c>
      <c r="C207" t="s">
        <v>293</v>
      </c>
      <c r="D207" t="s">
        <v>58</v>
      </c>
      <c r="E207" t="s">
        <v>107</v>
      </c>
      <c r="F207" t="s">
        <v>108</v>
      </c>
      <c r="G207" t="s">
        <v>103</v>
      </c>
    </row>
    <row r="208" spans="1:7">
      <c r="A208" s="12">
        <v>46410</v>
      </c>
      <c r="B208" t="s">
        <v>59</v>
      </c>
      <c r="C208" t="s">
        <v>294</v>
      </c>
      <c r="D208" t="s">
        <v>88</v>
      </c>
      <c r="E208" t="s">
        <v>107</v>
      </c>
      <c r="F208" t="s">
        <v>109</v>
      </c>
      <c r="G208" t="s">
        <v>103</v>
      </c>
    </row>
    <row r="209" spans="1:7">
      <c r="A209" s="12">
        <v>46411</v>
      </c>
      <c r="B209" t="s">
        <v>62</v>
      </c>
      <c r="C209" t="s">
        <v>295</v>
      </c>
    </row>
    <row r="210" spans="1:7">
      <c r="A210" s="12">
        <v>46412</v>
      </c>
      <c r="B210" t="s">
        <v>64</v>
      </c>
      <c r="C210" t="s">
        <v>296</v>
      </c>
    </row>
    <row r="211" spans="1:7">
      <c r="A211" s="12">
        <v>46413</v>
      </c>
      <c r="B211" t="s">
        <v>66</v>
      </c>
      <c r="C211" t="s">
        <v>297</v>
      </c>
    </row>
    <row r="212" spans="1:7">
      <c r="A212" s="12">
        <v>46414</v>
      </c>
      <c r="B212" t="s">
        <v>50</v>
      </c>
      <c r="C212" t="s">
        <v>298</v>
      </c>
    </row>
    <row r="213" spans="1:7">
      <c r="A213" s="12">
        <v>46415</v>
      </c>
      <c r="B213" t="s">
        <v>52</v>
      </c>
      <c r="C213" t="s">
        <v>299</v>
      </c>
    </row>
    <row r="214" spans="1:7">
      <c r="A214" s="12">
        <v>46416</v>
      </c>
      <c r="B214" t="s">
        <v>56</v>
      </c>
      <c r="C214" t="s">
        <v>300</v>
      </c>
      <c r="D214" t="s">
        <v>58</v>
      </c>
      <c r="E214" t="s">
        <v>107</v>
      </c>
      <c r="F214" t="s">
        <v>108</v>
      </c>
      <c r="G214" t="s">
        <v>103</v>
      </c>
    </row>
    <row r="215" spans="1:7">
      <c r="A215" s="12">
        <v>46417</v>
      </c>
      <c r="B215" t="s">
        <v>59</v>
      </c>
      <c r="C215" t="s">
        <v>301</v>
      </c>
      <c r="D215" t="s">
        <v>88</v>
      </c>
      <c r="E215" t="s">
        <v>107</v>
      </c>
      <c r="F215" t="s">
        <v>109</v>
      </c>
      <c r="G215" t="s">
        <v>103</v>
      </c>
    </row>
    <row r="216" spans="1:7">
      <c r="A216" s="12">
        <v>46418</v>
      </c>
      <c r="B216" t="s">
        <v>62</v>
      </c>
      <c r="C216" t="s">
        <v>302</v>
      </c>
    </row>
    <row r="217" spans="1:7">
      <c r="A217" s="12">
        <v>46419</v>
      </c>
      <c r="B217" t="s">
        <v>64</v>
      </c>
      <c r="C217" t="s">
        <v>303</v>
      </c>
    </row>
    <row r="218" spans="1:7">
      <c r="A218" s="12">
        <v>46420</v>
      </c>
      <c r="B218" t="s">
        <v>66</v>
      </c>
      <c r="C218" t="s">
        <v>304</v>
      </c>
    </row>
    <row r="219" spans="1:7">
      <c r="A219" s="12">
        <v>46421</v>
      </c>
      <c r="B219" t="s">
        <v>50</v>
      </c>
      <c r="C219" t="s">
        <v>305</v>
      </c>
    </row>
    <row r="220" spans="1:7">
      <c r="A220" s="12">
        <v>46422</v>
      </c>
      <c r="B220" t="s">
        <v>52</v>
      </c>
      <c r="C220" t="s">
        <v>306</v>
      </c>
    </row>
    <row r="221" spans="1:7">
      <c r="A221" s="12">
        <v>46423</v>
      </c>
      <c r="B221" t="s">
        <v>56</v>
      </c>
      <c r="C221" t="s">
        <v>307</v>
      </c>
      <c r="D221" t="s">
        <v>58</v>
      </c>
      <c r="E221" t="s">
        <v>107</v>
      </c>
      <c r="F221" t="s">
        <v>108</v>
      </c>
      <c r="G221" t="s">
        <v>103</v>
      </c>
    </row>
    <row r="222" spans="1:7">
      <c r="A222" s="12">
        <v>46424</v>
      </c>
      <c r="B222" t="s">
        <v>59</v>
      </c>
      <c r="C222" t="s">
        <v>308</v>
      </c>
      <c r="D222" t="s">
        <v>88</v>
      </c>
      <c r="E222" t="s">
        <v>107</v>
      </c>
      <c r="F222" t="s">
        <v>109</v>
      </c>
      <c r="G222" t="s">
        <v>103</v>
      </c>
    </row>
    <row r="223" spans="1:7">
      <c r="A223" s="12">
        <v>46425</v>
      </c>
      <c r="B223" t="s">
        <v>62</v>
      </c>
      <c r="C223" t="s">
        <v>309</v>
      </c>
    </row>
    <row r="224" spans="1:7">
      <c r="A224" s="12">
        <v>46426</v>
      </c>
      <c r="B224" t="s">
        <v>64</v>
      </c>
      <c r="C224" t="s">
        <v>310</v>
      </c>
    </row>
    <row r="225" spans="1:7">
      <c r="A225" s="12">
        <v>46427</v>
      </c>
      <c r="B225" t="s">
        <v>66</v>
      </c>
      <c r="C225" t="s">
        <v>311</v>
      </c>
    </row>
    <row r="226" spans="1:7">
      <c r="A226" s="12">
        <v>46428</v>
      </c>
      <c r="B226" t="s">
        <v>50</v>
      </c>
      <c r="C226" t="s">
        <v>312</v>
      </c>
    </row>
    <row r="227" spans="1:7">
      <c r="A227" s="12">
        <v>46429</v>
      </c>
      <c r="B227" t="s">
        <v>52</v>
      </c>
      <c r="C227" t="s">
        <v>313</v>
      </c>
    </row>
    <row r="228" spans="1:7">
      <c r="A228" s="12">
        <v>46430</v>
      </c>
      <c r="B228" t="s">
        <v>56</v>
      </c>
      <c r="C228" t="s">
        <v>314</v>
      </c>
      <c r="D228" t="s">
        <v>58</v>
      </c>
      <c r="E228" t="s">
        <v>107</v>
      </c>
      <c r="F228" t="s">
        <v>108</v>
      </c>
      <c r="G228" t="s">
        <v>103</v>
      </c>
    </row>
    <row r="229" spans="1:7">
      <c r="A229" s="12">
        <v>46431</v>
      </c>
      <c r="B229" t="s">
        <v>59</v>
      </c>
      <c r="C229" t="s">
        <v>315</v>
      </c>
      <c r="D229" t="s">
        <v>88</v>
      </c>
      <c r="E229" t="s">
        <v>107</v>
      </c>
      <c r="F229" t="s">
        <v>109</v>
      </c>
      <c r="G229" t="s">
        <v>103</v>
      </c>
    </row>
    <row r="230" spans="1:7">
      <c r="A230" s="12">
        <v>46432</v>
      </c>
      <c r="B230" t="s">
        <v>62</v>
      </c>
      <c r="C230" t="s">
        <v>316</v>
      </c>
    </row>
    <row r="231" spans="1:7">
      <c r="A231" s="12">
        <v>46433</v>
      </c>
      <c r="B231" t="s">
        <v>64</v>
      </c>
      <c r="C231" t="s">
        <v>317</v>
      </c>
    </row>
    <row r="232" spans="1:7">
      <c r="A232" s="12">
        <v>46434</v>
      </c>
      <c r="B232" t="s">
        <v>66</v>
      </c>
      <c r="C232" t="s">
        <v>318</v>
      </c>
    </row>
    <row r="233" spans="1:7">
      <c r="A233" s="12">
        <v>46435</v>
      </c>
      <c r="B233" t="s">
        <v>50</v>
      </c>
      <c r="C233" t="s">
        <v>319</v>
      </c>
    </row>
    <row r="234" spans="1:7">
      <c r="A234" s="12">
        <v>46436</v>
      </c>
      <c r="B234" t="s">
        <v>52</v>
      </c>
      <c r="C234" t="s">
        <v>320</v>
      </c>
    </row>
    <row r="235" spans="1:7">
      <c r="A235" s="12">
        <v>46437</v>
      </c>
      <c r="B235" t="s">
        <v>56</v>
      </c>
      <c r="C235" t="s">
        <v>321</v>
      </c>
      <c r="D235" t="s">
        <v>58</v>
      </c>
      <c r="E235" t="s">
        <v>107</v>
      </c>
      <c r="F235" t="s">
        <v>108</v>
      </c>
      <c r="G235" t="s">
        <v>103</v>
      </c>
    </row>
    <row r="236" spans="1:7">
      <c r="A236" s="12">
        <v>46438</v>
      </c>
      <c r="B236" t="s">
        <v>59</v>
      </c>
      <c r="C236" t="s">
        <v>322</v>
      </c>
      <c r="D236" t="s">
        <v>88</v>
      </c>
      <c r="E236" t="s">
        <v>107</v>
      </c>
      <c r="F236" t="s">
        <v>109</v>
      </c>
      <c r="G236" t="s">
        <v>103</v>
      </c>
    </row>
    <row r="237" spans="1:7">
      <c r="A237" s="12">
        <v>46439</v>
      </c>
      <c r="B237" t="s">
        <v>62</v>
      </c>
      <c r="C237" t="s">
        <v>323</v>
      </c>
      <c r="D237" t="s">
        <v>324</v>
      </c>
      <c r="E237" t="s">
        <v>99</v>
      </c>
      <c r="F237" t="s">
        <v>325</v>
      </c>
      <c r="G237" t="s">
        <v>103</v>
      </c>
    </row>
    <row r="238" spans="1:7">
      <c r="A238" s="12">
        <v>46440</v>
      </c>
      <c r="B238" t="s">
        <v>64</v>
      </c>
      <c r="C238" t="s">
        <v>326</v>
      </c>
      <c r="D238" t="s">
        <v>324</v>
      </c>
      <c r="E238" t="s">
        <v>99</v>
      </c>
      <c r="F238" t="s">
        <v>325</v>
      </c>
      <c r="G238" t="s">
        <v>103</v>
      </c>
    </row>
    <row r="239" spans="1:7">
      <c r="A239" s="12">
        <v>46441</v>
      </c>
      <c r="B239" t="s">
        <v>66</v>
      </c>
      <c r="C239" t="s">
        <v>327</v>
      </c>
    </row>
    <row r="240" spans="1:7">
      <c r="A240" s="12">
        <v>46442</v>
      </c>
      <c r="B240" t="s">
        <v>50</v>
      </c>
      <c r="C240" t="s">
        <v>328</v>
      </c>
    </row>
    <row r="241" spans="1:7">
      <c r="A241" s="12">
        <v>46443</v>
      </c>
      <c r="B241" t="s">
        <v>52</v>
      </c>
      <c r="C241" t="s">
        <v>329</v>
      </c>
    </row>
    <row r="242" spans="1:7">
      <c r="A242" s="12">
        <v>46444</v>
      </c>
      <c r="B242" t="s">
        <v>56</v>
      </c>
      <c r="C242" t="s">
        <v>330</v>
      </c>
      <c r="D242" t="s">
        <v>58</v>
      </c>
      <c r="E242" t="s">
        <v>107</v>
      </c>
      <c r="F242" t="s">
        <v>108</v>
      </c>
      <c r="G242" t="s">
        <v>103</v>
      </c>
    </row>
    <row r="243" spans="1:7">
      <c r="A243" s="12">
        <v>46445</v>
      </c>
      <c r="B243" t="s">
        <v>59</v>
      </c>
      <c r="C243" t="s">
        <v>331</v>
      </c>
      <c r="D243" t="s">
        <v>88</v>
      </c>
      <c r="E243" t="s">
        <v>107</v>
      </c>
      <c r="F243" t="s">
        <v>109</v>
      </c>
      <c r="G243" t="s">
        <v>103</v>
      </c>
    </row>
    <row r="244" spans="1:7">
      <c r="A244" s="12">
        <v>46446</v>
      </c>
      <c r="B244" t="s">
        <v>62</v>
      </c>
      <c r="C244" t="s">
        <v>332</v>
      </c>
    </row>
    <row r="245" spans="1:7">
      <c r="A245" s="12">
        <v>46447</v>
      </c>
      <c r="B245" t="s">
        <v>64</v>
      </c>
      <c r="C245" t="s">
        <v>333</v>
      </c>
    </row>
    <row r="246" spans="1:7">
      <c r="A246" s="12">
        <v>46448</v>
      </c>
      <c r="B246" t="s">
        <v>66</v>
      </c>
      <c r="C246" t="s">
        <v>334</v>
      </c>
    </row>
    <row r="247" spans="1:7">
      <c r="A247" s="12">
        <v>46449</v>
      </c>
      <c r="B247" t="s">
        <v>50</v>
      </c>
      <c r="C247" t="s">
        <v>335</v>
      </c>
    </row>
    <row r="248" spans="1:7">
      <c r="A248" s="12">
        <v>46450</v>
      </c>
      <c r="B248" t="s">
        <v>52</v>
      </c>
      <c r="C248" t="s">
        <v>336</v>
      </c>
    </row>
    <row r="249" spans="1:7">
      <c r="A249" s="12">
        <v>46451</v>
      </c>
      <c r="B249" t="s">
        <v>56</v>
      </c>
      <c r="C249" t="s">
        <v>337</v>
      </c>
      <c r="D249" t="s">
        <v>58</v>
      </c>
      <c r="E249" t="s">
        <v>107</v>
      </c>
      <c r="F249" t="s">
        <v>108</v>
      </c>
      <c r="G249" t="s">
        <v>103</v>
      </c>
    </row>
    <row r="250" spans="1:7">
      <c r="A250" s="12">
        <v>46452</v>
      </c>
      <c r="B250" t="s">
        <v>59</v>
      </c>
      <c r="C250" t="s">
        <v>338</v>
      </c>
      <c r="D250" t="s">
        <v>88</v>
      </c>
      <c r="E250" t="s">
        <v>107</v>
      </c>
      <c r="F250" t="s">
        <v>109</v>
      </c>
      <c r="G250" t="s">
        <v>103</v>
      </c>
    </row>
    <row r="251" spans="1:7">
      <c r="A251" s="12">
        <v>46453</v>
      </c>
      <c r="B251" t="s">
        <v>62</v>
      </c>
      <c r="C251" t="s">
        <v>339</v>
      </c>
    </row>
    <row r="252" spans="1:7">
      <c r="A252" s="12">
        <v>46454</v>
      </c>
      <c r="B252" t="s">
        <v>64</v>
      </c>
      <c r="C252" t="s">
        <v>340</v>
      </c>
    </row>
    <row r="253" spans="1:7">
      <c r="A253" s="12">
        <v>46455</v>
      </c>
      <c r="B253" t="s">
        <v>66</v>
      </c>
      <c r="C253" t="s">
        <v>341</v>
      </c>
    </row>
    <row r="254" spans="1:7">
      <c r="A254" s="12">
        <v>46456</v>
      </c>
      <c r="B254" t="s">
        <v>50</v>
      </c>
      <c r="C254" t="s">
        <v>342</v>
      </c>
    </row>
    <row r="255" spans="1:7">
      <c r="A255" s="12">
        <v>46457</v>
      </c>
      <c r="B255" t="s">
        <v>52</v>
      </c>
      <c r="C255" t="s">
        <v>343</v>
      </c>
    </row>
    <row r="256" spans="1:7">
      <c r="A256" s="12">
        <v>46458</v>
      </c>
      <c r="B256" t="s">
        <v>56</v>
      </c>
      <c r="C256" t="s">
        <v>344</v>
      </c>
      <c r="D256" t="s">
        <v>58</v>
      </c>
      <c r="E256" t="s">
        <v>107</v>
      </c>
      <c r="F256" t="s">
        <v>108</v>
      </c>
      <c r="G256" t="s">
        <v>103</v>
      </c>
    </row>
    <row r="257" spans="1:7">
      <c r="A257" s="12">
        <v>46459</v>
      </c>
      <c r="B257" t="s">
        <v>59</v>
      </c>
      <c r="C257" t="s">
        <v>345</v>
      </c>
      <c r="D257" t="s">
        <v>88</v>
      </c>
      <c r="E257" t="s">
        <v>107</v>
      </c>
      <c r="F257" t="s">
        <v>109</v>
      </c>
      <c r="G257" t="s">
        <v>103</v>
      </c>
    </row>
    <row r="258" spans="1:7">
      <c r="A258" s="12">
        <v>46460</v>
      </c>
      <c r="B258" t="s">
        <v>62</v>
      </c>
      <c r="C258" t="s">
        <v>346</v>
      </c>
    </row>
    <row r="259" spans="1:7">
      <c r="A259" s="12">
        <v>46461</v>
      </c>
      <c r="B259" t="s">
        <v>64</v>
      </c>
      <c r="C259" t="s">
        <v>347</v>
      </c>
    </row>
    <row r="260" spans="1:7">
      <c r="A260" s="12">
        <v>46462</v>
      </c>
      <c r="B260" t="s">
        <v>66</v>
      </c>
      <c r="C260" t="s">
        <v>348</v>
      </c>
    </row>
    <row r="261" spans="1:7">
      <c r="A261" s="12">
        <v>46463</v>
      </c>
      <c r="B261" t="s">
        <v>50</v>
      </c>
      <c r="C261" t="s">
        <v>349</v>
      </c>
    </row>
    <row r="262" spans="1:7">
      <c r="A262" s="12">
        <v>46464</v>
      </c>
      <c r="B262" t="s">
        <v>52</v>
      </c>
      <c r="C262" t="s">
        <v>350</v>
      </c>
    </row>
    <row r="263" spans="1:7">
      <c r="A263" s="12">
        <v>46465</v>
      </c>
      <c r="B263" t="s">
        <v>56</v>
      </c>
      <c r="C263" t="s">
        <v>351</v>
      </c>
      <c r="D263" t="s">
        <v>58</v>
      </c>
      <c r="E263" t="s">
        <v>107</v>
      </c>
      <c r="F263" t="s">
        <v>108</v>
      </c>
      <c r="G263" t="s">
        <v>103</v>
      </c>
    </row>
    <row r="264" spans="1:7">
      <c r="A264" s="12">
        <v>46466</v>
      </c>
      <c r="B264" t="s">
        <v>59</v>
      </c>
      <c r="C264" t="s">
        <v>352</v>
      </c>
      <c r="D264" t="s">
        <v>88</v>
      </c>
      <c r="E264" t="s">
        <v>107</v>
      </c>
      <c r="F264" t="s">
        <v>109</v>
      </c>
      <c r="G264" t="s">
        <v>103</v>
      </c>
    </row>
    <row r="265" spans="1:7">
      <c r="A265" s="12">
        <v>46467</v>
      </c>
      <c r="B265" t="s">
        <v>62</v>
      </c>
      <c r="C265" t="s">
        <v>353</v>
      </c>
    </row>
    <row r="266" spans="1:7">
      <c r="A266" s="12">
        <v>46468</v>
      </c>
      <c r="B266" t="s">
        <v>64</v>
      </c>
      <c r="C266" t="s">
        <v>354</v>
      </c>
    </row>
    <row r="267" spans="1:7">
      <c r="A267" s="12">
        <v>46469</v>
      </c>
      <c r="B267" t="s">
        <v>66</v>
      </c>
      <c r="C267" t="s">
        <v>355</v>
      </c>
      <c r="D267" t="s">
        <v>324</v>
      </c>
      <c r="E267" t="s">
        <v>99</v>
      </c>
      <c r="F267" t="s">
        <v>325</v>
      </c>
      <c r="G267" t="s">
        <v>103</v>
      </c>
    </row>
    <row r="268" spans="1:7">
      <c r="A268" s="12">
        <v>46470</v>
      </c>
      <c r="B268" t="s">
        <v>50</v>
      </c>
      <c r="C268" t="s">
        <v>356</v>
      </c>
      <c r="D268" t="s">
        <v>324</v>
      </c>
      <c r="E268" t="s">
        <v>99</v>
      </c>
      <c r="F268" t="s">
        <v>325</v>
      </c>
      <c r="G268" t="s">
        <v>103</v>
      </c>
    </row>
    <row r="269" spans="1:7">
      <c r="A269" s="12">
        <v>46471</v>
      </c>
      <c r="B269" t="s">
        <v>52</v>
      </c>
      <c r="C269" t="s">
        <v>357</v>
      </c>
    </row>
    <row r="270" spans="1:7">
      <c r="A270" s="12">
        <v>46472</v>
      </c>
      <c r="B270" t="s">
        <v>56</v>
      </c>
      <c r="C270" t="s">
        <v>358</v>
      </c>
      <c r="D270" t="s">
        <v>58</v>
      </c>
      <c r="E270" t="s">
        <v>107</v>
      </c>
      <c r="F270" t="s">
        <v>108</v>
      </c>
      <c r="G270" t="s">
        <v>103</v>
      </c>
    </row>
    <row r="271" spans="1:7">
      <c r="A271" s="12">
        <v>46473</v>
      </c>
      <c r="B271" t="s">
        <v>59</v>
      </c>
      <c r="C271" t="s">
        <v>359</v>
      </c>
      <c r="D271" t="s">
        <v>88</v>
      </c>
      <c r="E271" t="s">
        <v>107</v>
      </c>
      <c r="F271" t="s">
        <v>109</v>
      </c>
      <c r="G271" t="s">
        <v>103</v>
      </c>
    </row>
    <row r="272" spans="1:7">
      <c r="A272" s="12">
        <v>46474</v>
      </c>
      <c r="B272" t="s">
        <v>62</v>
      </c>
      <c r="C272" t="s">
        <v>360</v>
      </c>
    </row>
    <row r="273" spans="1:7">
      <c r="A273" s="12">
        <v>46475</v>
      </c>
      <c r="B273" t="s">
        <v>64</v>
      </c>
      <c r="C273" t="s">
        <v>361</v>
      </c>
    </row>
    <row r="274" spans="1:7">
      <c r="A274" s="12">
        <v>46476</v>
      </c>
      <c r="B274" t="s">
        <v>66</v>
      </c>
      <c r="C274" t="s">
        <v>362</v>
      </c>
    </row>
    <row r="275" spans="1:7">
      <c r="A275" s="12">
        <v>46477</v>
      </c>
      <c r="B275" t="s">
        <v>50</v>
      </c>
      <c r="C275" t="s">
        <v>363</v>
      </c>
    </row>
    <row r="276" spans="1:7">
      <c r="A276" s="12">
        <v>46478</v>
      </c>
      <c r="B276" t="s">
        <v>52</v>
      </c>
      <c r="C276" t="s">
        <v>364</v>
      </c>
    </row>
    <row r="277" spans="1:7">
      <c r="A277" s="12">
        <v>46479</v>
      </c>
      <c r="B277" t="s">
        <v>56</v>
      </c>
      <c r="C277" t="s">
        <v>365</v>
      </c>
      <c r="D277" t="s">
        <v>58</v>
      </c>
      <c r="E277" t="s">
        <v>107</v>
      </c>
      <c r="F277" t="s">
        <v>108</v>
      </c>
      <c r="G277" t="s">
        <v>103</v>
      </c>
    </row>
    <row r="278" spans="1:7">
      <c r="A278" s="12">
        <v>46480</v>
      </c>
      <c r="B278" t="s">
        <v>59</v>
      </c>
      <c r="C278" t="s">
        <v>366</v>
      </c>
      <c r="D278" t="s">
        <v>88</v>
      </c>
      <c r="E278" t="s">
        <v>107</v>
      </c>
      <c r="F278" t="s">
        <v>109</v>
      </c>
      <c r="G278" t="s">
        <v>103</v>
      </c>
    </row>
    <row r="279" spans="1:7">
      <c r="A279" s="12">
        <v>46481</v>
      </c>
      <c r="B279" t="s">
        <v>62</v>
      </c>
      <c r="C279" t="s">
        <v>367</v>
      </c>
    </row>
    <row r="280" spans="1:7">
      <c r="A280" s="12">
        <v>46482</v>
      </c>
      <c r="B280" t="s">
        <v>64</v>
      </c>
      <c r="C280" t="s">
        <v>368</v>
      </c>
    </row>
    <row r="281" spans="1:7">
      <c r="A281" s="12">
        <v>46483</v>
      </c>
      <c r="B281" t="s">
        <v>66</v>
      </c>
      <c r="C281" t="s">
        <v>369</v>
      </c>
    </row>
    <row r="282" spans="1:7">
      <c r="A282" s="12">
        <v>46484</v>
      </c>
      <c r="B282" t="s">
        <v>50</v>
      </c>
      <c r="C282" t="s">
        <v>370</v>
      </c>
    </row>
    <row r="283" spans="1:7">
      <c r="A283" s="12">
        <v>46485</v>
      </c>
      <c r="B283" t="s">
        <v>52</v>
      </c>
      <c r="C283" t="s">
        <v>371</v>
      </c>
    </row>
    <row r="284" spans="1:7">
      <c r="A284" s="12">
        <v>46486</v>
      </c>
      <c r="B284" t="s">
        <v>56</v>
      </c>
      <c r="C284" t="s">
        <v>372</v>
      </c>
      <c r="D284" t="s">
        <v>58</v>
      </c>
      <c r="E284" t="s">
        <v>107</v>
      </c>
      <c r="F284" t="s">
        <v>108</v>
      </c>
      <c r="G284" t="s">
        <v>103</v>
      </c>
    </row>
    <row r="285" spans="1:7">
      <c r="A285" s="12">
        <v>46487</v>
      </c>
      <c r="B285" t="s">
        <v>59</v>
      </c>
      <c r="C285" t="s">
        <v>373</v>
      </c>
      <c r="D285" t="s">
        <v>88</v>
      </c>
      <c r="E285" t="s">
        <v>107</v>
      </c>
      <c r="F285" t="s">
        <v>109</v>
      </c>
      <c r="G285" t="s">
        <v>103</v>
      </c>
    </row>
    <row r="286" spans="1:7">
      <c r="A286" s="12">
        <v>46488</v>
      </c>
      <c r="B286" t="s">
        <v>62</v>
      </c>
      <c r="C286" t="s">
        <v>374</v>
      </c>
    </row>
    <row r="287" spans="1:7">
      <c r="A287" s="12">
        <v>46489</v>
      </c>
      <c r="B287" t="s">
        <v>64</v>
      </c>
      <c r="C287" t="s">
        <v>375</v>
      </c>
    </row>
    <row r="288" spans="1:7">
      <c r="A288" s="12">
        <v>46490</v>
      </c>
      <c r="B288" t="s">
        <v>66</v>
      </c>
      <c r="C288" t="s">
        <v>376</v>
      </c>
    </row>
    <row r="289" spans="1:7">
      <c r="A289" s="12">
        <v>46491</v>
      </c>
      <c r="B289" t="s">
        <v>50</v>
      </c>
      <c r="C289" t="s">
        <v>377</v>
      </c>
    </row>
    <row r="290" spans="1:7">
      <c r="A290" s="12">
        <v>46492</v>
      </c>
      <c r="B290" t="s">
        <v>52</v>
      </c>
      <c r="C290" t="s">
        <v>378</v>
      </c>
    </row>
    <row r="291" spans="1:7">
      <c r="A291" s="12">
        <v>46493</v>
      </c>
      <c r="B291" t="s">
        <v>56</v>
      </c>
      <c r="C291" t="s">
        <v>379</v>
      </c>
      <c r="D291" t="s">
        <v>58</v>
      </c>
      <c r="E291" t="s">
        <v>107</v>
      </c>
      <c r="F291" t="s">
        <v>108</v>
      </c>
      <c r="G291" t="s">
        <v>103</v>
      </c>
    </row>
    <row r="292" spans="1:7">
      <c r="A292" s="12">
        <v>46494</v>
      </c>
      <c r="B292" t="s">
        <v>59</v>
      </c>
      <c r="C292" t="s">
        <v>380</v>
      </c>
      <c r="D292" t="s">
        <v>88</v>
      </c>
      <c r="E292" t="s">
        <v>107</v>
      </c>
      <c r="F292" t="s">
        <v>109</v>
      </c>
      <c r="G292" t="s">
        <v>103</v>
      </c>
    </row>
    <row r="293" spans="1:7">
      <c r="A293" s="12">
        <v>46495</v>
      </c>
      <c r="B293" t="s">
        <v>62</v>
      </c>
      <c r="C293" t="s">
        <v>381</v>
      </c>
    </row>
    <row r="294" spans="1:7">
      <c r="A294" s="12">
        <v>46496</v>
      </c>
      <c r="B294" t="s">
        <v>64</v>
      </c>
      <c r="C294" t="s">
        <v>382</v>
      </c>
    </row>
    <row r="295" spans="1:7">
      <c r="A295" s="12">
        <v>46497</v>
      </c>
      <c r="B295" t="s">
        <v>66</v>
      </c>
      <c r="C295" t="s">
        <v>383</v>
      </c>
    </row>
    <row r="296" spans="1:7">
      <c r="A296" s="12">
        <v>46498</v>
      </c>
      <c r="B296" t="s">
        <v>50</v>
      </c>
      <c r="C296" t="s">
        <v>384</v>
      </c>
      <c r="D296" t="s">
        <v>385</v>
      </c>
      <c r="E296" t="s">
        <v>104</v>
      </c>
      <c r="F296" t="s">
        <v>386</v>
      </c>
      <c r="G296" t="s">
        <v>106</v>
      </c>
    </row>
    <row r="297" spans="1:7">
      <c r="A297" s="12">
        <v>46499</v>
      </c>
      <c r="B297" t="s">
        <v>52</v>
      </c>
      <c r="C297" t="s">
        <v>387</v>
      </c>
      <c r="D297" t="s">
        <v>385</v>
      </c>
      <c r="E297" t="s">
        <v>104</v>
      </c>
      <c r="F297" t="s">
        <v>386</v>
      </c>
      <c r="G297" t="s">
        <v>106</v>
      </c>
    </row>
    <row r="298" spans="1:7">
      <c r="A298" s="12">
        <v>46500</v>
      </c>
      <c r="B298" t="s">
        <v>56</v>
      </c>
      <c r="C298" t="s">
        <v>388</v>
      </c>
      <c r="D298" t="s">
        <v>385</v>
      </c>
      <c r="E298" t="s">
        <v>104</v>
      </c>
      <c r="F298" t="s">
        <v>386</v>
      </c>
      <c r="G298" t="s">
        <v>106</v>
      </c>
    </row>
    <row r="299" spans="1:7">
      <c r="A299" s="12">
        <v>46501</v>
      </c>
      <c r="B299" t="s">
        <v>59</v>
      </c>
      <c r="C299" t="s">
        <v>389</v>
      </c>
      <c r="D299" t="s">
        <v>385</v>
      </c>
      <c r="E299" t="s">
        <v>104</v>
      </c>
      <c r="F299" t="s">
        <v>386</v>
      </c>
      <c r="G299" t="s">
        <v>106</v>
      </c>
    </row>
    <row r="300" spans="1:7">
      <c r="A300" s="12">
        <v>46502</v>
      </c>
      <c r="B300" t="s">
        <v>62</v>
      </c>
      <c r="C300" t="s">
        <v>390</v>
      </c>
      <c r="D300" t="s">
        <v>385</v>
      </c>
      <c r="E300" t="s">
        <v>104</v>
      </c>
      <c r="F300" t="s">
        <v>386</v>
      </c>
      <c r="G300" t="s">
        <v>106</v>
      </c>
    </row>
    <row r="301" spans="1:7">
      <c r="A301" s="12">
        <v>46503</v>
      </c>
      <c r="B301" t="s">
        <v>64</v>
      </c>
      <c r="C301" t="s">
        <v>391</v>
      </c>
      <c r="D301" t="s">
        <v>385</v>
      </c>
      <c r="E301" t="s">
        <v>104</v>
      </c>
      <c r="F301" t="s">
        <v>386</v>
      </c>
      <c r="G301" t="s">
        <v>106</v>
      </c>
    </row>
    <row r="302" spans="1:7">
      <c r="A302" s="12">
        <v>46504</v>
      </c>
      <c r="B302" t="s">
        <v>66</v>
      </c>
      <c r="C302" t="s">
        <v>392</v>
      </c>
      <c r="D302" t="s">
        <v>385</v>
      </c>
      <c r="E302" t="s">
        <v>104</v>
      </c>
      <c r="F302" t="s">
        <v>386</v>
      </c>
      <c r="G302" t="s">
        <v>106</v>
      </c>
    </row>
    <row r="303" spans="1:7">
      <c r="A303" s="12">
        <v>46505</v>
      </c>
      <c r="B303" t="s">
        <v>50</v>
      </c>
      <c r="C303" t="s">
        <v>393</v>
      </c>
      <c r="D303" t="s">
        <v>385</v>
      </c>
      <c r="E303" t="s">
        <v>104</v>
      </c>
      <c r="F303" t="s">
        <v>386</v>
      </c>
      <c r="G303" t="s">
        <v>106</v>
      </c>
    </row>
    <row r="304" spans="1:7">
      <c r="A304" s="12">
        <v>46506</v>
      </c>
      <c r="B304" t="s">
        <v>52</v>
      </c>
      <c r="C304" t="s">
        <v>394</v>
      </c>
      <c r="D304" t="s">
        <v>385</v>
      </c>
      <c r="E304" t="s">
        <v>104</v>
      </c>
      <c r="F304" t="s">
        <v>386</v>
      </c>
      <c r="G304" t="s">
        <v>106</v>
      </c>
    </row>
    <row r="305" spans="1:7">
      <c r="A305" s="12">
        <v>46507</v>
      </c>
      <c r="B305" t="s">
        <v>56</v>
      </c>
      <c r="C305" t="s">
        <v>395</v>
      </c>
      <c r="D305" t="s">
        <v>58</v>
      </c>
      <c r="E305" t="s">
        <v>107</v>
      </c>
      <c r="F305" t="s">
        <v>108</v>
      </c>
      <c r="G305" t="s">
        <v>103</v>
      </c>
    </row>
    <row r="306" spans="1:7">
      <c r="A306" s="12">
        <v>46508</v>
      </c>
      <c r="B306" t="s">
        <v>59</v>
      </c>
      <c r="C306" t="s">
        <v>396</v>
      </c>
      <c r="D306" t="s">
        <v>88</v>
      </c>
      <c r="E306" t="s">
        <v>107</v>
      </c>
      <c r="F306" t="s">
        <v>109</v>
      </c>
      <c r="G306" t="s">
        <v>103</v>
      </c>
    </row>
    <row r="307" spans="1:7">
      <c r="A307" s="12">
        <v>46509</v>
      </c>
      <c r="B307" t="s">
        <v>62</v>
      </c>
      <c r="C307" t="s">
        <v>397</v>
      </c>
    </row>
    <row r="308" spans="1:7">
      <c r="A308" s="12">
        <v>46510</v>
      </c>
      <c r="B308" t="s">
        <v>64</v>
      </c>
      <c r="C308" t="s">
        <v>398</v>
      </c>
    </row>
    <row r="309" spans="1:7">
      <c r="A309" s="12">
        <v>46511</v>
      </c>
      <c r="B309" t="s">
        <v>66</v>
      </c>
      <c r="C309" t="s">
        <v>399</v>
      </c>
    </row>
    <row r="310" spans="1:7">
      <c r="A310" s="12">
        <v>46512</v>
      </c>
      <c r="B310" t="s">
        <v>50</v>
      </c>
      <c r="C310" t="s">
        <v>400</v>
      </c>
    </row>
    <row r="311" spans="1:7">
      <c r="A311" s="12">
        <v>46513</v>
      </c>
      <c r="B311" t="s">
        <v>52</v>
      </c>
      <c r="C311" t="s">
        <v>401</v>
      </c>
    </row>
    <row r="312" spans="1:7">
      <c r="A312" s="12">
        <v>46514</v>
      </c>
      <c r="B312" t="s">
        <v>56</v>
      </c>
      <c r="C312" t="s">
        <v>402</v>
      </c>
      <c r="D312" t="s">
        <v>58</v>
      </c>
      <c r="E312" t="s">
        <v>107</v>
      </c>
      <c r="F312" t="s">
        <v>108</v>
      </c>
      <c r="G312" t="s">
        <v>103</v>
      </c>
    </row>
    <row r="313" spans="1:7">
      <c r="A313" s="12">
        <v>46515</v>
      </c>
      <c r="B313" t="s">
        <v>59</v>
      </c>
      <c r="C313" t="s">
        <v>403</v>
      </c>
      <c r="D313" t="s">
        <v>88</v>
      </c>
      <c r="E313" t="s">
        <v>107</v>
      </c>
      <c r="F313" t="s">
        <v>109</v>
      </c>
      <c r="G313" t="s">
        <v>103</v>
      </c>
    </row>
    <row r="314" spans="1:7">
      <c r="A314" s="12">
        <v>46516</v>
      </c>
      <c r="B314" t="s">
        <v>62</v>
      </c>
      <c r="C314" t="s">
        <v>404</v>
      </c>
    </row>
    <row r="315" spans="1:7">
      <c r="A315" s="12">
        <v>46517</v>
      </c>
      <c r="B315" t="s">
        <v>64</v>
      </c>
      <c r="C315" t="s">
        <v>405</v>
      </c>
    </row>
    <row r="316" spans="1:7">
      <c r="A316" s="12">
        <v>46518</v>
      </c>
      <c r="B316" t="s">
        <v>66</v>
      </c>
      <c r="C316" t="s">
        <v>406</v>
      </c>
    </row>
    <row r="317" spans="1:7">
      <c r="A317" s="12">
        <v>46519</v>
      </c>
      <c r="B317" t="s">
        <v>50</v>
      </c>
      <c r="C317" t="s">
        <v>407</v>
      </c>
    </row>
    <row r="318" spans="1:7">
      <c r="A318" s="12">
        <v>46520</v>
      </c>
      <c r="B318" t="s">
        <v>52</v>
      </c>
      <c r="C318" t="s">
        <v>408</v>
      </c>
    </row>
    <row r="319" spans="1:7">
      <c r="A319" s="12">
        <v>46521</v>
      </c>
      <c r="B319" t="s">
        <v>56</v>
      </c>
      <c r="C319" t="s">
        <v>409</v>
      </c>
      <c r="D319" t="s">
        <v>58</v>
      </c>
      <c r="E319" t="s">
        <v>107</v>
      </c>
      <c r="F319" t="s">
        <v>108</v>
      </c>
      <c r="G319" t="s">
        <v>103</v>
      </c>
    </row>
    <row r="320" spans="1:7">
      <c r="A320" s="12">
        <v>46522</v>
      </c>
      <c r="B320" t="s">
        <v>59</v>
      </c>
      <c r="C320" t="s">
        <v>410</v>
      </c>
      <c r="D320" t="s">
        <v>88</v>
      </c>
      <c r="E320" t="s">
        <v>107</v>
      </c>
      <c r="F320" t="s">
        <v>109</v>
      </c>
      <c r="G320" t="s">
        <v>103</v>
      </c>
    </row>
    <row r="321" spans="1:7">
      <c r="A321" s="12">
        <v>46523</v>
      </c>
      <c r="B321" t="s">
        <v>62</v>
      </c>
      <c r="C321" t="s">
        <v>411</v>
      </c>
    </row>
    <row r="322" spans="1:7">
      <c r="A322" s="12">
        <v>46524</v>
      </c>
      <c r="B322" t="s">
        <v>64</v>
      </c>
      <c r="C322" t="s">
        <v>412</v>
      </c>
    </row>
    <row r="323" spans="1:7">
      <c r="A323" s="12">
        <v>46525</v>
      </c>
      <c r="B323" t="s">
        <v>66</v>
      </c>
      <c r="C323" t="s">
        <v>413</v>
      </c>
    </row>
    <row r="324" spans="1:7">
      <c r="A324" s="12">
        <v>46526</v>
      </c>
      <c r="B324" t="s">
        <v>50</v>
      </c>
      <c r="C324" t="s">
        <v>414</v>
      </c>
    </row>
    <row r="325" spans="1:7">
      <c r="A325" s="12">
        <v>46527</v>
      </c>
      <c r="B325" t="s">
        <v>52</v>
      </c>
      <c r="C325" t="s">
        <v>415</v>
      </c>
    </row>
    <row r="326" spans="1:7">
      <c r="A326" s="12">
        <v>46528</v>
      </c>
      <c r="B326" t="s">
        <v>56</v>
      </c>
      <c r="C326" t="s">
        <v>416</v>
      </c>
      <c r="D326" t="s">
        <v>58</v>
      </c>
      <c r="E326" t="s">
        <v>107</v>
      </c>
      <c r="F326" t="s">
        <v>108</v>
      </c>
      <c r="G326" t="s">
        <v>103</v>
      </c>
    </row>
    <row r="327" spans="1:7">
      <c r="A327" s="12">
        <v>46529</v>
      </c>
      <c r="B327" t="s">
        <v>59</v>
      </c>
      <c r="C327" t="s">
        <v>417</v>
      </c>
      <c r="D327" t="s">
        <v>88</v>
      </c>
      <c r="E327" t="s">
        <v>107</v>
      </c>
      <c r="F327" t="s">
        <v>109</v>
      </c>
      <c r="G327" t="s">
        <v>103</v>
      </c>
    </row>
    <row r="328" spans="1:7">
      <c r="A328" s="12">
        <v>46530</v>
      </c>
      <c r="B328" t="s">
        <v>62</v>
      </c>
      <c r="C328" t="s">
        <v>418</v>
      </c>
    </row>
    <row r="329" spans="1:7">
      <c r="A329" s="12">
        <v>46531</v>
      </c>
      <c r="B329" t="s">
        <v>64</v>
      </c>
      <c r="C329" t="s">
        <v>419</v>
      </c>
    </row>
    <row r="330" spans="1:7">
      <c r="A330" s="12">
        <v>46532</v>
      </c>
      <c r="B330" t="s">
        <v>66</v>
      </c>
      <c r="C330" t="s">
        <v>420</v>
      </c>
    </row>
    <row r="331" spans="1:7">
      <c r="A331" s="12">
        <v>46533</v>
      </c>
      <c r="B331" t="s">
        <v>50</v>
      </c>
      <c r="C331" t="s">
        <v>421</v>
      </c>
    </row>
    <row r="332" spans="1:7">
      <c r="A332" s="12">
        <v>46534</v>
      </c>
      <c r="B332" t="s">
        <v>52</v>
      </c>
      <c r="C332" t="s">
        <v>422</v>
      </c>
    </row>
    <row r="333" spans="1:7">
      <c r="A333" s="12">
        <v>46535</v>
      </c>
      <c r="B333" t="s">
        <v>56</v>
      </c>
      <c r="C333" t="s">
        <v>423</v>
      </c>
      <c r="D333" t="s">
        <v>58</v>
      </c>
      <c r="E333" t="s">
        <v>107</v>
      </c>
      <c r="F333" t="s">
        <v>108</v>
      </c>
      <c r="G333" t="s">
        <v>103</v>
      </c>
    </row>
    <row r="334" spans="1:7">
      <c r="A334" s="12">
        <v>46536</v>
      </c>
      <c r="B334" t="s">
        <v>59</v>
      </c>
      <c r="C334" t="s">
        <v>424</v>
      </c>
      <c r="D334" t="s">
        <v>88</v>
      </c>
      <c r="E334" t="s">
        <v>107</v>
      </c>
      <c r="F334" t="s">
        <v>109</v>
      </c>
      <c r="G334" t="s">
        <v>103</v>
      </c>
    </row>
    <row r="335" spans="1:7">
      <c r="A335" s="12">
        <v>46537</v>
      </c>
      <c r="B335" t="s">
        <v>62</v>
      </c>
      <c r="C335" t="s">
        <v>425</v>
      </c>
    </row>
    <row r="336" spans="1:7">
      <c r="A336" s="12">
        <v>46538</v>
      </c>
      <c r="B336" t="s">
        <v>64</v>
      </c>
      <c r="C336" t="s">
        <v>426</v>
      </c>
    </row>
    <row r="337" spans="1:7">
      <c r="A337" s="12">
        <v>46539</v>
      </c>
      <c r="B337" t="s">
        <v>66</v>
      </c>
      <c r="C337" t="s">
        <v>427</v>
      </c>
    </row>
    <row r="338" spans="1:7">
      <c r="A338" s="12">
        <v>46540</v>
      </c>
      <c r="B338" t="s">
        <v>50</v>
      </c>
      <c r="C338" t="s">
        <v>428</v>
      </c>
    </row>
    <row r="339" spans="1:7">
      <c r="A339" s="12">
        <v>46541</v>
      </c>
      <c r="B339" t="s">
        <v>52</v>
      </c>
      <c r="C339" t="s">
        <v>429</v>
      </c>
    </row>
    <row r="340" spans="1:7">
      <c r="A340" s="12">
        <v>46542</v>
      </c>
      <c r="B340" t="s">
        <v>56</v>
      </c>
      <c r="C340" t="s">
        <v>430</v>
      </c>
      <c r="D340" t="s">
        <v>58</v>
      </c>
      <c r="E340" t="s">
        <v>107</v>
      </c>
      <c r="F340" t="s">
        <v>108</v>
      </c>
      <c r="G340" t="s">
        <v>103</v>
      </c>
    </row>
    <row r="341" spans="1:7">
      <c r="A341" s="12">
        <v>46543</v>
      </c>
      <c r="B341" t="s">
        <v>59</v>
      </c>
      <c r="C341" t="s">
        <v>431</v>
      </c>
      <c r="D341" t="s">
        <v>88</v>
      </c>
      <c r="E341" t="s">
        <v>107</v>
      </c>
      <c r="F341" t="s">
        <v>109</v>
      </c>
      <c r="G341" t="s">
        <v>103</v>
      </c>
    </row>
    <row r="342" spans="1:7">
      <c r="A342" s="12">
        <v>46544</v>
      </c>
      <c r="B342" t="s">
        <v>62</v>
      </c>
      <c r="C342" t="s">
        <v>432</v>
      </c>
    </row>
    <row r="343" spans="1:7">
      <c r="A343" s="12">
        <v>46545</v>
      </c>
      <c r="B343" t="s">
        <v>64</v>
      </c>
      <c r="C343" t="s">
        <v>433</v>
      </c>
    </row>
    <row r="344" spans="1:7">
      <c r="A344" s="12">
        <v>46546</v>
      </c>
      <c r="B344" t="s">
        <v>66</v>
      </c>
      <c r="C344" t="s">
        <v>434</v>
      </c>
    </row>
    <row r="345" spans="1:7">
      <c r="A345" s="12">
        <v>46547</v>
      </c>
      <c r="B345" t="s">
        <v>50</v>
      </c>
      <c r="C345" t="s">
        <v>435</v>
      </c>
    </row>
    <row r="346" spans="1:7">
      <c r="A346" s="12">
        <v>46548</v>
      </c>
      <c r="B346" t="s">
        <v>52</v>
      </c>
      <c r="C346" t="s">
        <v>436</v>
      </c>
      <c r="D346" t="s">
        <v>437</v>
      </c>
      <c r="E346" t="s">
        <v>438</v>
      </c>
      <c r="F346" t="s">
        <v>439</v>
      </c>
      <c r="G346" t="s">
        <v>103</v>
      </c>
    </row>
    <row r="347" spans="1:7">
      <c r="A347" s="12">
        <v>46549</v>
      </c>
      <c r="B347" t="s">
        <v>56</v>
      </c>
      <c r="C347" t="s">
        <v>440</v>
      </c>
      <c r="D347" t="s">
        <v>437</v>
      </c>
      <c r="E347" t="s">
        <v>438</v>
      </c>
      <c r="F347" t="s">
        <v>439</v>
      </c>
      <c r="G347" t="s">
        <v>103</v>
      </c>
    </row>
    <row r="348" spans="1:7">
      <c r="A348" s="12">
        <v>46550</v>
      </c>
      <c r="B348" t="s">
        <v>59</v>
      </c>
      <c r="C348" t="s">
        <v>441</v>
      </c>
      <c r="D348" t="s">
        <v>437</v>
      </c>
      <c r="E348" t="s">
        <v>438</v>
      </c>
      <c r="F348" t="s">
        <v>439</v>
      </c>
      <c r="G348" t="s">
        <v>103</v>
      </c>
    </row>
    <row r="349" spans="1:7">
      <c r="A349" s="12">
        <v>46551</v>
      </c>
      <c r="B349" t="s">
        <v>62</v>
      </c>
      <c r="C349" t="s">
        <v>442</v>
      </c>
    </row>
    <row r="350" spans="1:7">
      <c r="A350" s="12">
        <v>46552</v>
      </c>
      <c r="B350" t="s">
        <v>64</v>
      </c>
      <c r="C350" t="s">
        <v>443</v>
      </c>
    </row>
    <row r="351" spans="1:7">
      <c r="A351" s="12">
        <v>46553</v>
      </c>
      <c r="B351" t="s">
        <v>66</v>
      </c>
      <c r="C351" t="s">
        <v>444</v>
      </c>
    </row>
    <row r="352" spans="1:7">
      <c r="A352" s="12">
        <v>46554</v>
      </c>
      <c r="B352" t="s">
        <v>50</v>
      </c>
      <c r="C352" t="s">
        <v>445</v>
      </c>
    </row>
    <row r="353" spans="1:7">
      <c r="A353" s="12">
        <v>46555</v>
      </c>
      <c r="B353" t="s">
        <v>52</v>
      </c>
      <c r="C353" t="s">
        <v>446</v>
      </c>
    </row>
    <row r="354" spans="1:7">
      <c r="A354" s="12">
        <v>46556</v>
      </c>
      <c r="B354" t="s">
        <v>56</v>
      </c>
      <c r="C354" t="s">
        <v>447</v>
      </c>
      <c r="D354" t="s">
        <v>58</v>
      </c>
      <c r="E354" t="s">
        <v>107</v>
      </c>
      <c r="F354" t="s">
        <v>108</v>
      </c>
      <c r="G354" t="s">
        <v>103</v>
      </c>
    </row>
    <row r="355" spans="1:7">
      <c r="A355" s="12">
        <v>46557</v>
      </c>
      <c r="B355" t="s">
        <v>59</v>
      </c>
      <c r="C355" t="s">
        <v>448</v>
      </c>
      <c r="D355" t="s">
        <v>88</v>
      </c>
      <c r="E355" t="s">
        <v>107</v>
      </c>
      <c r="F355" t="s">
        <v>109</v>
      </c>
      <c r="G355" t="s">
        <v>103</v>
      </c>
    </row>
    <row r="356" spans="1:7">
      <c r="A356" s="12">
        <v>46558</v>
      </c>
      <c r="B356" t="s">
        <v>62</v>
      </c>
      <c r="C356" t="s">
        <v>449</v>
      </c>
    </row>
    <row r="357" spans="1:7">
      <c r="A357" s="12">
        <v>46559</v>
      </c>
      <c r="B357" t="s">
        <v>64</v>
      </c>
      <c r="C357" t="s">
        <v>450</v>
      </c>
    </row>
    <row r="358" spans="1:7">
      <c r="A358" s="12">
        <v>46560</v>
      </c>
      <c r="B358" t="s">
        <v>66</v>
      </c>
      <c r="C358" t="s">
        <v>451</v>
      </c>
    </row>
    <row r="359" spans="1:7">
      <c r="A359" s="12">
        <v>46561</v>
      </c>
      <c r="B359" t="s">
        <v>50</v>
      </c>
      <c r="C359" t="s">
        <v>452</v>
      </c>
    </row>
    <row r="360" spans="1:7">
      <c r="A360" s="12">
        <v>46562</v>
      </c>
      <c r="B360" t="s">
        <v>52</v>
      </c>
      <c r="C360" t="s">
        <v>453</v>
      </c>
    </row>
    <row r="361" spans="1:7">
      <c r="A361" s="12">
        <v>46563</v>
      </c>
      <c r="B361" t="s">
        <v>56</v>
      </c>
      <c r="C361" t="s">
        <v>454</v>
      </c>
      <c r="D361" t="s">
        <v>58</v>
      </c>
      <c r="E361" t="s">
        <v>107</v>
      </c>
      <c r="F361" t="s">
        <v>108</v>
      </c>
      <c r="G361" t="s">
        <v>103</v>
      </c>
    </row>
    <row r="362" spans="1:7">
      <c r="A362" s="12">
        <v>46564</v>
      </c>
      <c r="B362" t="s">
        <v>59</v>
      </c>
      <c r="C362" t="s">
        <v>455</v>
      </c>
      <c r="D362" t="s">
        <v>88</v>
      </c>
      <c r="E362" t="s">
        <v>107</v>
      </c>
      <c r="F362" t="s">
        <v>109</v>
      </c>
      <c r="G362" t="s">
        <v>103</v>
      </c>
    </row>
    <row r="363" spans="1:7">
      <c r="A363" s="12">
        <v>46565</v>
      </c>
      <c r="B363" t="s">
        <v>62</v>
      </c>
      <c r="C363" t="s">
        <v>456</v>
      </c>
    </row>
    <row r="364" spans="1:7">
      <c r="A364" s="12">
        <v>46566</v>
      </c>
      <c r="B364" t="s">
        <v>64</v>
      </c>
      <c r="C364" t="s">
        <v>457</v>
      </c>
    </row>
    <row r="365" spans="1:7">
      <c r="A365" s="12">
        <v>46567</v>
      </c>
      <c r="B365" t="s">
        <v>66</v>
      </c>
      <c r="C365" t="s">
        <v>458</v>
      </c>
    </row>
    <row r="366" spans="1:7">
      <c r="A366" s="12">
        <v>46568</v>
      </c>
      <c r="B366" t="s">
        <v>50</v>
      </c>
      <c r="C366" t="s">
        <v>459</v>
      </c>
    </row>
    <row r="367" spans="1:7">
      <c r="A367" s="12">
        <v>46569</v>
      </c>
      <c r="B367" t="s">
        <v>52</v>
      </c>
      <c r="C367" t="s">
        <v>460</v>
      </c>
    </row>
    <row r="368" spans="1:7">
      <c r="A368" s="12">
        <v>46570</v>
      </c>
      <c r="B368" t="s">
        <v>56</v>
      </c>
      <c r="C368" t="s">
        <v>461</v>
      </c>
      <c r="D368" t="s">
        <v>58</v>
      </c>
      <c r="E368" t="s">
        <v>107</v>
      </c>
      <c r="F368" t="s">
        <v>108</v>
      </c>
      <c r="G368" t="s">
        <v>103</v>
      </c>
    </row>
    <row r="369" spans="1:7">
      <c r="A369" s="12">
        <v>46571</v>
      </c>
      <c r="B369" t="s">
        <v>59</v>
      </c>
      <c r="C369" t="s">
        <v>462</v>
      </c>
      <c r="D369" t="s">
        <v>88</v>
      </c>
      <c r="E369" t="s">
        <v>107</v>
      </c>
      <c r="F369" t="s">
        <v>109</v>
      </c>
      <c r="G369" t="s">
        <v>103</v>
      </c>
    </row>
    <row r="370" spans="1:7">
      <c r="A370" s="12">
        <v>46572</v>
      </c>
      <c r="B370" t="s">
        <v>62</v>
      </c>
      <c r="C370" t="s">
        <v>463</v>
      </c>
    </row>
    <row r="371" spans="1:7">
      <c r="A371" s="12">
        <v>46573</v>
      </c>
      <c r="B371" t="s">
        <v>64</v>
      </c>
      <c r="C371" t="s">
        <v>464</v>
      </c>
    </row>
    <row r="372" spans="1:7">
      <c r="A372" s="12">
        <v>46574</v>
      </c>
      <c r="B372" t="s">
        <v>66</v>
      </c>
      <c r="C372" t="s">
        <v>465</v>
      </c>
    </row>
    <row r="373" spans="1:7">
      <c r="A373" s="12">
        <v>46575</v>
      </c>
      <c r="B373" t="s">
        <v>50</v>
      </c>
      <c r="C373" t="s">
        <v>466</v>
      </c>
    </row>
    <row r="374" spans="1:7">
      <c r="A374" s="12">
        <v>46576</v>
      </c>
      <c r="B374" t="s">
        <v>52</v>
      </c>
      <c r="C374" t="s">
        <v>467</v>
      </c>
    </row>
    <row r="375" spans="1:7">
      <c r="A375" s="12">
        <v>46577</v>
      </c>
      <c r="B375" t="s">
        <v>56</v>
      </c>
      <c r="C375" t="s">
        <v>468</v>
      </c>
      <c r="D375" t="s">
        <v>58</v>
      </c>
      <c r="E375" t="s">
        <v>107</v>
      </c>
      <c r="F375" t="s">
        <v>108</v>
      </c>
      <c r="G375" t="s">
        <v>103</v>
      </c>
    </row>
    <row r="376" spans="1:7">
      <c r="A376" s="12">
        <v>46578</v>
      </c>
      <c r="B376" t="s">
        <v>59</v>
      </c>
      <c r="C376" t="s">
        <v>469</v>
      </c>
      <c r="D376" t="s">
        <v>88</v>
      </c>
      <c r="E376" t="s">
        <v>107</v>
      </c>
      <c r="F376" t="s">
        <v>109</v>
      </c>
      <c r="G376" t="s">
        <v>103</v>
      </c>
    </row>
    <row r="377" spans="1:7">
      <c r="A377" s="12">
        <v>46579</v>
      </c>
      <c r="B377" t="s">
        <v>62</v>
      </c>
      <c r="C377" t="s">
        <v>470</v>
      </c>
    </row>
    <row r="378" spans="1:7">
      <c r="A378" s="12">
        <v>46580</v>
      </c>
      <c r="B378" t="s">
        <v>64</v>
      </c>
      <c r="C378" t="s">
        <v>471</v>
      </c>
    </row>
    <row r="379" spans="1:7">
      <c r="A379" s="12">
        <v>46581</v>
      </c>
      <c r="B379" t="s">
        <v>66</v>
      </c>
      <c r="C379" t="s">
        <v>472</v>
      </c>
    </row>
    <row r="380" spans="1:7">
      <c r="A380" s="12">
        <v>46582</v>
      </c>
      <c r="B380" t="s">
        <v>50</v>
      </c>
      <c r="C380" t="s">
        <v>473</v>
      </c>
    </row>
    <row r="381" spans="1:7">
      <c r="A381" s="12">
        <v>46583</v>
      </c>
      <c r="B381" t="s">
        <v>52</v>
      </c>
      <c r="C381" t="s">
        <v>474</v>
      </c>
    </row>
    <row r="382" spans="1:7">
      <c r="A382" s="12">
        <v>46584</v>
      </c>
      <c r="B382" t="s">
        <v>56</v>
      </c>
      <c r="C382" t="s">
        <v>475</v>
      </c>
      <c r="D382" t="s">
        <v>58</v>
      </c>
      <c r="E382" t="s">
        <v>107</v>
      </c>
      <c r="F382" t="s">
        <v>108</v>
      </c>
      <c r="G382" t="s">
        <v>103</v>
      </c>
    </row>
    <row r="383" spans="1:7">
      <c r="A383" s="12">
        <v>46585</v>
      </c>
      <c r="B383" t="s">
        <v>59</v>
      </c>
      <c r="C383" t="s">
        <v>476</v>
      </c>
      <c r="D383" t="s">
        <v>88</v>
      </c>
      <c r="E383" t="s">
        <v>107</v>
      </c>
      <c r="F383" t="s">
        <v>109</v>
      </c>
      <c r="G383" t="s">
        <v>103</v>
      </c>
    </row>
    <row r="384" spans="1:7">
      <c r="A384" s="12">
        <v>46586</v>
      </c>
      <c r="B384" t="s">
        <v>62</v>
      </c>
      <c r="C384" t="s">
        <v>477</v>
      </c>
    </row>
    <row r="385" spans="1:7">
      <c r="A385" s="12">
        <v>46587</v>
      </c>
      <c r="B385" t="s">
        <v>64</v>
      </c>
      <c r="C385" t="s">
        <v>478</v>
      </c>
    </row>
    <row r="386" spans="1:7">
      <c r="A386" s="12">
        <v>46588</v>
      </c>
      <c r="B386" t="s">
        <v>66</v>
      </c>
      <c r="C386" t="s">
        <v>479</v>
      </c>
    </row>
    <row r="387" spans="1:7">
      <c r="A387" s="12">
        <v>46589</v>
      </c>
      <c r="B387" t="s">
        <v>50</v>
      </c>
      <c r="C387" t="s">
        <v>480</v>
      </c>
    </row>
    <row r="388" spans="1:7">
      <c r="A388" s="12">
        <v>46590</v>
      </c>
      <c r="B388" t="s">
        <v>52</v>
      </c>
      <c r="C388" t="s">
        <v>481</v>
      </c>
      <c r="D388" t="s">
        <v>54</v>
      </c>
      <c r="E388" t="s">
        <v>99</v>
      </c>
      <c r="F388" t="s">
        <v>100</v>
      </c>
      <c r="G388" t="s">
        <v>101</v>
      </c>
    </row>
    <row r="389" spans="1:7">
      <c r="A389" s="12">
        <v>46591</v>
      </c>
      <c r="B389" t="s">
        <v>56</v>
      </c>
      <c r="C389" t="s">
        <v>482</v>
      </c>
      <c r="D389" t="s">
        <v>54</v>
      </c>
      <c r="E389" t="s">
        <v>99</v>
      </c>
      <c r="F389" t="s">
        <v>100</v>
      </c>
      <c r="G389" t="s">
        <v>101</v>
      </c>
    </row>
    <row r="390" spans="1:7">
      <c r="A390" s="12">
        <v>46592</v>
      </c>
      <c r="B390" t="s">
        <v>59</v>
      </c>
      <c r="C390" t="s">
        <v>483</v>
      </c>
      <c r="D390" t="s">
        <v>54</v>
      </c>
      <c r="E390" t="s">
        <v>99</v>
      </c>
      <c r="F390" t="s">
        <v>100</v>
      </c>
      <c r="G390" t="s">
        <v>101</v>
      </c>
    </row>
    <row r="391" spans="1:7">
      <c r="A391" s="12">
        <v>46593</v>
      </c>
      <c r="B391" t="s">
        <v>62</v>
      </c>
      <c r="C391" t="s">
        <v>484</v>
      </c>
      <c r="D391" t="s">
        <v>54</v>
      </c>
      <c r="E391" t="s">
        <v>99</v>
      </c>
      <c r="F391" t="s">
        <v>100</v>
      </c>
      <c r="G391" t="s">
        <v>101</v>
      </c>
    </row>
    <row r="392" spans="1:7">
      <c r="A392" s="12">
        <v>46594</v>
      </c>
      <c r="B392" t="s">
        <v>64</v>
      </c>
      <c r="C392" t="s">
        <v>485</v>
      </c>
      <c r="D392" t="s">
        <v>54</v>
      </c>
      <c r="E392" t="s">
        <v>99</v>
      </c>
      <c r="F392" t="s">
        <v>100</v>
      </c>
      <c r="G392" t="s">
        <v>101</v>
      </c>
    </row>
    <row r="393" spans="1:7">
      <c r="A393" s="12">
        <v>46595</v>
      </c>
      <c r="B393" t="s">
        <v>66</v>
      </c>
      <c r="C393" t="s">
        <v>486</v>
      </c>
      <c r="D393" t="s">
        <v>54</v>
      </c>
      <c r="E393" t="s">
        <v>99</v>
      </c>
      <c r="F393" t="s">
        <v>100</v>
      </c>
      <c r="G393" t="s">
        <v>101</v>
      </c>
    </row>
    <row r="394" spans="1:7">
      <c r="A394" s="12">
        <v>46596</v>
      </c>
      <c r="B394" t="s">
        <v>50</v>
      </c>
      <c r="C394" t="s">
        <v>487</v>
      </c>
      <c r="D394" t="s">
        <v>54</v>
      </c>
      <c r="E394" t="s">
        <v>99</v>
      </c>
      <c r="F394" t="s">
        <v>100</v>
      </c>
      <c r="G394" t="s">
        <v>101</v>
      </c>
    </row>
    <row r="395" spans="1:7">
      <c r="A395" s="12">
        <v>46597</v>
      </c>
      <c r="B395" t="s">
        <v>52</v>
      </c>
      <c r="C395" t="s">
        <v>488</v>
      </c>
      <c r="D395" t="s">
        <v>54</v>
      </c>
      <c r="E395" t="s">
        <v>99</v>
      </c>
      <c r="F395" t="s">
        <v>100</v>
      </c>
      <c r="G395" t="s">
        <v>101</v>
      </c>
    </row>
    <row r="396" spans="1:7">
      <c r="A396" s="12">
        <v>46598</v>
      </c>
      <c r="B396" t="s">
        <v>56</v>
      </c>
      <c r="C396" t="s">
        <v>489</v>
      </c>
      <c r="D396" t="s">
        <v>54</v>
      </c>
      <c r="E396" t="s">
        <v>99</v>
      </c>
      <c r="F396" t="s">
        <v>100</v>
      </c>
      <c r="G396" t="s">
        <v>101</v>
      </c>
    </row>
    <row r="397" spans="1:7">
      <c r="A397" s="12">
        <v>46599</v>
      </c>
      <c r="B397" t="s">
        <v>59</v>
      </c>
      <c r="C397" t="s">
        <v>490</v>
      </c>
      <c r="D397" t="s">
        <v>54</v>
      </c>
      <c r="E397" t="s">
        <v>99</v>
      </c>
      <c r="F397" t="s">
        <v>100</v>
      </c>
      <c r="G397" t="s">
        <v>101</v>
      </c>
    </row>
    <row r="398" spans="1:7">
      <c r="A398" s="12">
        <v>46600</v>
      </c>
      <c r="B398" t="s">
        <v>62</v>
      </c>
      <c r="C398" t="s">
        <v>491</v>
      </c>
      <c r="D398" t="s">
        <v>54</v>
      </c>
      <c r="E398" t="s">
        <v>99</v>
      </c>
      <c r="F398" t="s">
        <v>100</v>
      </c>
      <c r="G398" t="s">
        <v>101</v>
      </c>
    </row>
    <row r="399" spans="1:7">
      <c r="A399" s="12">
        <v>46601</v>
      </c>
      <c r="B399" t="s">
        <v>64</v>
      </c>
      <c r="C399" t="s">
        <v>492</v>
      </c>
      <c r="D399" t="s">
        <v>54</v>
      </c>
      <c r="E399" t="s">
        <v>99</v>
      </c>
      <c r="F399" t="s">
        <v>100</v>
      </c>
      <c r="G399" t="s">
        <v>101</v>
      </c>
    </row>
    <row r="400" spans="1:7">
      <c r="A400" s="12">
        <v>46602</v>
      </c>
      <c r="B400" t="s">
        <v>66</v>
      </c>
      <c r="C400" t="s">
        <v>493</v>
      </c>
      <c r="D400" t="s">
        <v>54</v>
      </c>
      <c r="E400" t="s">
        <v>99</v>
      </c>
      <c r="F400" t="s">
        <v>100</v>
      </c>
      <c r="G400" t="s">
        <v>101</v>
      </c>
    </row>
    <row r="401" spans="1:7">
      <c r="A401" s="12">
        <v>46603</v>
      </c>
      <c r="B401" t="s">
        <v>50</v>
      </c>
      <c r="C401" t="s">
        <v>494</v>
      </c>
      <c r="D401" t="s">
        <v>76</v>
      </c>
      <c r="E401" t="s">
        <v>99</v>
      </c>
      <c r="F401" t="s">
        <v>102</v>
      </c>
      <c r="G401" t="s">
        <v>103</v>
      </c>
    </row>
    <row r="402" spans="1:7">
      <c r="A402" s="12">
        <v>46604</v>
      </c>
      <c r="B402" t="s">
        <v>52</v>
      </c>
      <c r="C402" t="s">
        <v>495</v>
      </c>
      <c r="D402" t="s">
        <v>76</v>
      </c>
      <c r="E402" t="s">
        <v>99</v>
      </c>
      <c r="F402" t="s">
        <v>102</v>
      </c>
      <c r="G402" t="s">
        <v>103</v>
      </c>
    </row>
    <row r="403" spans="1:7">
      <c r="A403" s="12">
        <v>46605</v>
      </c>
      <c r="B403" t="s">
        <v>56</v>
      </c>
      <c r="C403" t="s">
        <v>496</v>
      </c>
      <c r="D403" t="s">
        <v>76</v>
      </c>
      <c r="E403" t="s">
        <v>99</v>
      </c>
      <c r="F403" t="s">
        <v>102</v>
      </c>
      <c r="G403" t="s">
        <v>103</v>
      </c>
    </row>
    <row r="404" spans="1:7">
      <c r="A404" s="12">
        <v>46606</v>
      </c>
      <c r="B404" t="s">
        <v>59</v>
      </c>
      <c r="C404" t="s">
        <v>497</v>
      </c>
      <c r="D404" t="s">
        <v>76</v>
      </c>
      <c r="E404" t="s">
        <v>99</v>
      </c>
      <c r="F404" t="s">
        <v>102</v>
      </c>
      <c r="G404" t="s">
        <v>103</v>
      </c>
    </row>
    <row r="405" spans="1:7">
      <c r="A405" s="12">
        <v>46607</v>
      </c>
      <c r="B405" t="s">
        <v>62</v>
      </c>
      <c r="C405" t="s">
        <v>498</v>
      </c>
      <c r="D405" t="s">
        <v>76</v>
      </c>
      <c r="E405" t="s">
        <v>99</v>
      </c>
      <c r="F405" t="s">
        <v>102</v>
      </c>
      <c r="G405" t="s">
        <v>103</v>
      </c>
    </row>
    <row r="406" spans="1:7">
      <c r="A406" s="12">
        <v>46608</v>
      </c>
      <c r="B406" t="s">
        <v>64</v>
      </c>
      <c r="C406" t="s">
        <v>499</v>
      </c>
      <c r="D406" t="s">
        <v>76</v>
      </c>
      <c r="E406" t="s">
        <v>99</v>
      </c>
      <c r="F406" t="s">
        <v>102</v>
      </c>
      <c r="G406" t="s">
        <v>103</v>
      </c>
    </row>
    <row r="407" spans="1:7">
      <c r="A407" s="12">
        <v>46609</v>
      </c>
      <c r="B407" t="s">
        <v>66</v>
      </c>
      <c r="C407" t="s">
        <v>500</v>
      </c>
      <c r="D407" t="s">
        <v>76</v>
      </c>
      <c r="E407" t="s">
        <v>99</v>
      </c>
      <c r="F407" t="s">
        <v>102</v>
      </c>
      <c r="G407" t="s">
        <v>103</v>
      </c>
    </row>
    <row r="408" spans="1:7">
      <c r="A408" s="12">
        <v>46610</v>
      </c>
      <c r="B408" t="s">
        <v>50</v>
      </c>
      <c r="C408" t="s">
        <v>501</v>
      </c>
      <c r="D408" t="s">
        <v>76</v>
      </c>
      <c r="E408" t="s">
        <v>99</v>
      </c>
      <c r="F408" t="s">
        <v>102</v>
      </c>
      <c r="G408" t="s">
        <v>103</v>
      </c>
    </row>
    <row r="409" spans="1:7">
      <c r="A409" s="12">
        <v>46611</v>
      </c>
      <c r="B409" t="s">
        <v>52</v>
      </c>
      <c r="C409" t="s">
        <v>502</v>
      </c>
      <c r="D409" t="s">
        <v>85</v>
      </c>
      <c r="E409" t="s">
        <v>104</v>
      </c>
      <c r="F409" t="s">
        <v>105</v>
      </c>
      <c r="G409" t="s">
        <v>106</v>
      </c>
    </row>
    <row r="410" spans="1:7">
      <c r="A410" s="12">
        <v>46612</v>
      </c>
      <c r="B410" t="s">
        <v>56</v>
      </c>
      <c r="C410" t="s">
        <v>503</v>
      </c>
      <c r="D410" t="s">
        <v>58</v>
      </c>
      <c r="E410" t="s">
        <v>107</v>
      </c>
      <c r="F410" t="s">
        <v>108</v>
      </c>
      <c r="G410" t="s">
        <v>103</v>
      </c>
    </row>
    <row r="411" spans="1:7">
      <c r="A411" s="12">
        <v>46613</v>
      </c>
      <c r="B411" t="s">
        <v>59</v>
      </c>
      <c r="C411" t="s">
        <v>504</v>
      </c>
      <c r="D411" t="s">
        <v>88</v>
      </c>
      <c r="E411" t="s">
        <v>107</v>
      </c>
      <c r="F411" t="s">
        <v>109</v>
      </c>
      <c r="G411" t="s">
        <v>103</v>
      </c>
    </row>
    <row r="412" spans="1:7">
      <c r="A412" s="12">
        <v>46614</v>
      </c>
      <c r="B412" t="s">
        <v>62</v>
      </c>
      <c r="C412" t="s">
        <v>505</v>
      </c>
    </row>
    <row r="413" spans="1:7">
      <c r="A413" s="12">
        <v>46615</v>
      </c>
      <c r="B413" t="s">
        <v>64</v>
      </c>
      <c r="C413" t="s">
        <v>506</v>
      </c>
    </row>
    <row r="414" spans="1:7">
      <c r="A414" s="12">
        <v>46616</v>
      </c>
      <c r="B414" t="s">
        <v>66</v>
      </c>
      <c r="C414" t="s">
        <v>507</v>
      </c>
    </row>
    <row r="415" spans="1:7">
      <c r="A415" s="12">
        <v>46617</v>
      </c>
      <c r="B415" t="s">
        <v>50</v>
      </c>
      <c r="C415" t="s">
        <v>508</v>
      </c>
      <c r="D415" t="s">
        <v>93</v>
      </c>
      <c r="E415" t="s">
        <v>99</v>
      </c>
      <c r="F415" t="s">
        <v>110</v>
      </c>
      <c r="G415" t="s">
        <v>101</v>
      </c>
    </row>
    <row r="416" spans="1:7">
      <c r="A416" s="12">
        <v>46618</v>
      </c>
      <c r="B416" t="s">
        <v>52</v>
      </c>
      <c r="C416" t="s">
        <v>509</v>
      </c>
    </row>
    <row r="417" spans="1:7">
      <c r="A417" s="12">
        <v>46619</v>
      </c>
      <c r="B417" t="s">
        <v>56</v>
      </c>
      <c r="C417" t="s">
        <v>510</v>
      </c>
      <c r="D417" t="s">
        <v>58</v>
      </c>
      <c r="E417" t="s">
        <v>107</v>
      </c>
      <c r="F417" t="s">
        <v>108</v>
      </c>
      <c r="G417" t="s">
        <v>103</v>
      </c>
    </row>
    <row r="418" spans="1:7">
      <c r="A418" s="12">
        <v>46620</v>
      </c>
      <c r="B418" t="s">
        <v>59</v>
      </c>
      <c r="C418" t="s">
        <v>511</v>
      </c>
      <c r="D418" t="s">
        <v>88</v>
      </c>
      <c r="E418" t="s">
        <v>107</v>
      </c>
      <c r="F418" t="s">
        <v>109</v>
      </c>
      <c r="G418" t="s">
        <v>103</v>
      </c>
    </row>
    <row r="419" spans="1:7">
      <c r="A419" s="12">
        <v>46621</v>
      </c>
      <c r="B419" t="s">
        <v>62</v>
      </c>
      <c r="C419" t="s">
        <v>512</v>
      </c>
    </row>
    <row r="420" spans="1:7">
      <c r="A420" s="12">
        <v>46622</v>
      </c>
      <c r="B420" t="s">
        <v>64</v>
      </c>
      <c r="C420" t="s">
        <v>513</v>
      </c>
    </row>
    <row r="421" spans="1:7">
      <c r="A421" s="12">
        <v>46623</v>
      </c>
      <c r="B421" t="s">
        <v>66</v>
      </c>
      <c r="C421" t="s">
        <v>514</v>
      </c>
    </row>
    <row r="422" spans="1:7">
      <c r="A422" s="12">
        <v>46624</v>
      </c>
      <c r="B422" t="s">
        <v>50</v>
      </c>
      <c r="C422" t="s">
        <v>515</v>
      </c>
    </row>
    <row r="423" spans="1:7">
      <c r="A423" s="12">
        <v>46625</v>
      </c>
      <c r="B423" t="s">
        <v>52</v>
      </c>
      <c r="C423" t="s">
        <v>516</v>
      </c>
    </row>
    <row r="424" spans="1:7">
      <c r="A424" s="12">
        <v>46626</v>
      </c>
      <c r="B424" t="s">
        <v>56</v>
      </c>
      <c r="C424" t="s">
        <v>517</v>
      </c>
      <c r="D424" t="s">
        <v>58</v>
      </c>
      <c r="E424" t="s">
        <v>107</v>
      </c>
      <c r="F424" t="s">
        <v>108</v>
      </c>
      <c r="G424" t="s">
        <v>103</v>
      </c>
    </row>
    <row r="425" spans="1:7">
      <c r="A425" s="12">
        <v>46627</v>
      </c>
      <c r="B425" t="s">
        <v>59</v>
      </c>
      <c r="C425" t="s">
        <v>518</v>
      </c>
      <c r="D425" t="s">
        <v>88</v>
      </c>
      <c r="E425" t="s">
        <v>107</v>
      </c>
      <c r="F425" t="s">
        <v>109</v>
      </c>
      <c r="G425" t="s">
        <v>103</v>
      </c>
    </row>
    <row r="426" spans="1:7">
      <c r="A426" s="12">
        <v>46628</v>
      </c>
      <c r="B426" t="s">
        <v>62</v>
      </c>
      <c r="C426" t="s">
        <v>519</v>
      </c>
    </row>
    <row r="427" spans="1:7">
      <c r="A427" s="12">
        <v>46629</v>
      </c>
      <c r="B427" t="s">
        <v>64</v>
      </c>
      <c r="C427" t="s">
        <v>520</v>
      </c>
    </row>
    <row r="428" spans="1:7">
      <c r="A428" s="12">
        <v>46630</v>
      </c>
      <c r="B428" t="s">
        <v>66</v>
      </c>
      <c r="C428" t="s">
        <v>521</v>
      </c>
    </row>
    <row r="429" spans="1:7">
      <c r="A429" s="12">
        <v>46631</v>
      </c>
      <c r="B429" t="s">
        <v>50</v>
      </c>
      <c r="C429" t="s">
        <v>522</v>
      </c>
    </row>
    <row r="430" spans="1:7">
      <c r="A430" s="12">
        <v>46632</v>
      </c>
      <c r="B430" t="s">
        <v>52</v>
      </c>
      <c r="C430" t="s">
        <v>523</v>
      </c>
    </row>
    <row r="431" spans="1:7">
      <c r="A431" s="12">
        <v>46633</v>
      </c>
      <c r="B431" t="s">
        <v>56</v>
      </c>
      <c r="C431" t="s">
        <v>524</v>
      </c>
      <c r="D431" t="s">
        <v>58</v>
      </c>
      <c r="E431" t="s">
        <v>107</v>
      </c>
      <c r="F431" t="s">
        <v>108</v>
      </c>
      <c r="G431" t="s">
        <v>103</v>
      </c>
    </row>
    <row r="432" spans="1:7">
      <c r="A432" s="12">
        <v>46634</v>
      </c>
      <c r="B432" t="s">
        <v>59</v>
      </c>
      <c r="C432" t="s">
        <v>525</v>
      </c>
      <c r="D432" t="s">
        <v>88</v>
      </c>
      <c r="E432" t="s">
        <v>107</v>
      </c>
      <c r="F432" t="s">
        <v>109</v>
      </c>
      <c r="G432" t="s">
        <v>103</v>
      </c>
    </row>
    <row r="433" spans="1:7">
      <c r="A433" s="12">
        <v>46635</v>
      </c>
      <c r="B433" t="s">
        <v>62</v>
      </c>
      <c r="C433" t="s">
        <v>526</v>
      </c>
    </row>
    <row r="434" spans="1:7">
      <c r="A434" s="12">
        <v>46636</v>
      </c>
      <c r="B434" t="s">
        <v>64</v>
      </c>
      <c r="C434" t="s">
        <v>527</v>
      </c>
    </row>
    <row r="435" spans="1:7">
      <c r="A435" s="12">
        <v>46637</v>
      </c>
      <c r="B435" t="s">
        <v>66</v>
      </c>
      <c r="C435" t="s">
        <v>528</v>
      </c>
    </row>
    <row r="436" spans="1:7">
      <c r="A436" s="12">
        <v>46638</v>
      </c>
      <c r="B436" t="s">
        <v>50</v>
      </c>
      <c r="C436" t="s">
        <v>529</v>
      </c>
    </row>
    <row r="437" spans="1:7">
      <c r="A437" s="12">
        <v>46639</v>
      </c>
      <c r="B437" t="s">
        <v>52</v>
      </c>
      <c r="C437" t="s">
        <v>530</v>
      </c>
    </row>
    <row r="438" spans="1:7">
      <c r="A438" s="12">
        <v>46640</v>
      </c>
      <c r="B438" t="s">
        <v>56</v>
      </c>
      <c r="C438" t="s">
        <v>531</v>
      </c>
      <c r="D438" t="s">
        <v>58</v>
      </c>
      <c r="E438" t="s">
        <v>107</v>
      </c>
      <c r="F438" t="s">
        <v>108</v>
      </c>
      <c r="G438" t="s">
        <v>103</v>
      </c>
    </row>
    <row r="439" spans="1:7">
      <c r="A439" s="12">
        <v>46641</v>
      </c>
      <c r="B439" t="s">
        <v>59</v>
      </c>
      <c r="C439" t="s">
        <v>532</v>
      </c>
      <c r="D439" t="s">
        <v>88</v>
      </c>
      <c r="E439" t="s">
        <v>107</v>
      </c>
      <c r="F439" t="s">
        <v>109</v>
      </c>
      <c r="G439" t="s">
        <v>103</v>
      </c>
    </row>
    <row r="440" spans="1:7">
      <c r="A440" s="12">
        <v>46642</v>
      </c>
      <c r="B440" t="s">
        <v>62</v>
      </c>
      <c r="C440" t="s">
        <v>533</v>
      </c>
    </row>
    <row r="441" spans="1:7">
      <c r="A441" s="12">
        <v>46643</v>
      </c>
      <c r="B441" t="s">
        <v>64</v>
      </c>
      <c r="C441" t="s">
        <v>534</v>
      </c>
    </row>
    <row r="442" spans="1:7">
      <c r="A442" s="12">
        <v>46644</v>
      </c>
      <c r="B442" t="s">
        <v>66</v>
      </c>
      <c r="C442" t="s">
        <v>535</v>
      </c>
    </row>
    <row r="443" spans="1:7">
      <c r="A443" s="12">
        <v>46645</v>
      </c>
      <c r="B443" t="s">
        <v>50</v>
      </c>
      <c r="C443" t="s">
        <v>536</v>
      </c>
    </row>
    <row r="444" spans="1:7">
      <c r="A444" s="12">
        <v>46646</v>
      </c>
      <c r="B444" t="s">
        <v>52</v>
      </c>
      <c r="C444" t="s">
        <v>537</v>
      </c>
    </row>
    <row r="445" spans="1:7">
      <c r="A445" s="12">
        <v>46647</v>
      </c>
      <c r="B445" t="s">
        <v>56</v>
      </c>
      <c r="C445" t="s">
        <v>538</v>
      </c>
      <c r="D445" t="s">
        <v>58</v>
      </c>
      <c r="E445" t="s">
        <v>107</v>
      </c>
      <c r="F445" t="s">
        <v>108</v>
      </c>
      <c r="G445" t="s">
        <v>103</v>
      </c>
    </row>
    <row r="446" spans="1:7">
      <c r="A446" s="12">
        <v>46648</v>
      </c>
      <c r="B446" t="s">
        <v>59</v>
      </c>
      <c r="C446" t="s">
        <v>539</v>
      </c>
      <c r="D446" t="s">
        <v>88</v>
      </c>
      <c r="E446" t="s">
        <v>107</v>
      </c>
      <c r="F446" t="s">
        <v>109</v>
      </c>
      <c r="G446" t="s">
        <v>103</v>
      </c>
    </row>
    <row r="447" spans="1:7">
      <c r="A447" s="12">
        <v>46649</v>
      </c>
      <c r="B447" t="s">
        <v>62</v>
      </c>
      <c r="C447" t="s">
        <v>540</v>
      </c>
    </row>
    <row r="448" spans="1:7">
      <c r="A448" s="12">
        <v>46650</v>
      </c>
      <c r="B448" t="s">
        <v>64</v>
      </c>
      <c r="C448" t="s">
        <v>541</v>
      </c>
    </row>
    <row r="449" spans="1:7">
      <c r="A449" s="12">
        <v>46651</v>
      </c>
      <c r="B449" t="s">
        <v>66</v>
      </c>
      <c r="C449" t="s">
        <v>542</v>
      </c>
    </row>
    <row r="450" spans="1:7">
      <c r="A450" s="12">
        <v>46652</v>
      </c>
      <c r="B450" t="s">
        <v>50</v>
      </c>
      <c r="C450" t="s">
        <v>543</v>
      </c>
    </row>
    <row r="451" spans="1:7">
      <c r="A451" s="12">
        <v>46653</v>
      </c>
      <c r="B451" t="s">
        <v>52</v>
      </c>
      <c r="C451" t="s">
        <v>544</v>
      </c>
    </row>
    <row r="452" spans="1:7">
      <c r="A452" s="12">
        <v>46654</v>
      </c>
      <c r="B452" t="s">
        <v>56</v>
      </c>
      <c r="C452" t="s">
        <v>545</v>
      </c>
      <c r="D452" t="s">
        <v>58</v>
      </c>
      <c r="E452" t="s">
        <v>107</v>
      </c>
      <c r="F452" t="s">
        <v>108</v>
      </c>
      <c r="G452" t="s">
        <v>103</v>
      </c>
    </row>
    <row r="453" spans="1:7">
      <c r="A453" s="12">
        <v>46655</v>
      </c>
      <c r="B453" t="s">
        <v>59</v>
      </c>
      <c r="C453" t="s">
        <v>546</v>
      </c>
      <c r="D453" t="s">
        <v>88</v>
      </c>
      <c r="E453" t="s">
        <v>107</v>
      </c>
      <c r="F453" t="s">
        <v>109</v>
      </c>
      <c r="G453" t="s">
        <v>103</v>
      </c>
    </row>
    <row r="454" spans="1:7">
      <c r="A454" s="12">
        <v>46656</v>
      </c>
      <c r="B454" t="s">
        <v>62</v>
      </c>
      <c r="C454" t="s">
        <v>547</v>
      </c>
    </row>
    <row r="455" spans="1:7">
      <c r="A455" s="12">
        <v>46657</v>
      </c>
      <c r="B455" t="s">
        <v>64</v>
      </c>
      <c r="C455" t="s">
        <v>548</v>
      </c>
    </row>
    <row r="456" spans="1:7">
      <c r="A456" s="12">
        <v>46658</v>
      </c>
      <c r="B456" t="s">
        <v>66</v>
      </c>
      <c r="C456" t="s">
        <v>549</v>
      </c>
    </row>
    <row r="457" spans="1:7">
      <c r="A457" s="12">
        <v>46659</v>
      </c>
      <c r="B457" t="s">
        <v>50</v>
      </c>
      <c r="C457" t="s">
        <v>550</v>
      </c>
    </row>
    <row r="458" spans="1:7">
      <c r="A458" s="12">
        <v>46660</v>
      </c>
      <c r="B458" t="s">
        <v>52</v>
      </c>
      <c r="C458" t="s">
        <v>551</v>
      </c>
    </row>
    <row r="459" spans="1:7">
      <c r="A459" s="12">
        <v>46661</v>
      </c>
      <c r="B459" t="s">
        <v>56</v>
      </c>
      <c r="C459" t="s">
        <v>552</v>
      </c>
      <c r="D459" t="s">
        <v>58</v>
      </c>
      <c r="E459" t="s">
        <v>107</v>
      </c>
      <c r="F459" t="s">
        <v>108</v>
      </c>
      <c r="G459" t="s">
        <v>103</v>
      </c>
    </row>
    <row r="460" spans="1:7">
      <c r="A460" s="12">
        <v>46662</v>
      </c>
      <c r="B460" t="s">
        <v>59</v>
      </c>
      <c r="C460" t="s">
        <v>553</v>
      </c>
      <c r="D460" t="s">
        <v>154</v>
      </c>
      <c r="E460" t="s">
        <v>99</v>
      </c>
      <c r="F460" t="s">
        <v>155</v>
      </c>
      <c r="G460" t="s">
        <v>103</v>
      </c>
    </row>
    <row r="461" spans="1:7">
      <c r="A461" s="12">
        <v>46663</v>
      </c>
      <c r="B461" t="s">
        <v>62</v>
      </c>
      <c r="C461" t="s">
        <v>554</v>
      </c>
      <c r="D461" t="s">
        <v>154</v>
      </c>
      <c r="E461" t="s">
        <v>99</v>
      </c>
      <c r="F461" t="s">
        <v>155</v>
      </c>
      <c r="G461" t="s">
        <v>103</v>
      </c>
    </row>
    <row r="462" spans="1:7">
      <c r="A462" s="12">
        <v>46664</v>
      </c>
      <c r="B462" t="s">
        <v>64</v>
      </c>
      <c r="C462" t="s">
        <v>555</v>
      </c>
    </row>
    <row r="463" spans="1:7">
      <c r="A463" s="12">
        <v>46665</v>
      </c>
      <c r="B463" t="s">
        <v>66</v>
      </c>
      <c r="C463" t="s">
        <v>556</v>
      </c>
    </row>
    <row r="464" spans="1:7">
      <c r="A464" s="12">
        <v>46666</v>
      </c>
      <c r="B464" t="s">
        <v>50</v>
      </c>
      <c r="C464" t="s">
        <v>557</v>
      </c>
    </row>
    <row r="465" spans="1:7">
      <c r="A465" s="12">
        <v>46667</v>
      </c>
      <c r="B465" t="s">
        <v>52</v>
      </c>
      <c r="C465" t="s">
        <v>558</v>
      </c>
    </row>
    <row r="466" spans="1:7">
      <c r="A466" s="12">
        <v>46668</v>
      </c>
      <c r="B466" t="s">
        <v>56</v>
      </c>
      <c r="C466" t="s">
        <v>559</v>
      </c>
      <c r="D466" t="s">
        <v>58</v>
      </c>
      <c r="E466" t="s">
        <v>107</v>
      </c>
      <c r="F466" t="s">
        <v>108</v>
      </c>
      <c r="G466" t="s">
        <v>103</v>
      </c>
    </row>
    <row r="467" spans="1:7">
      <c r="A467" s="12">
        <v>46669</v>
      </c>
      <c r="B467" t="s">
        <v>59</v>
      </c>
      <c r="C467" t="s">
        <v>560</v>
      </c>
      <c r="D467" t="s">
        <v>88</v>
      </c>
      <c r="E467" t="s">
        <v>107</v>
      </c>
      <c r="F467" t="s">
        <v>109</v>
      </c>
      <c r="G467" t="s">
        <v>103</v>
      </c>
    </row>
    <row r="468" spans="1:7">
      <c r="A468" s="12">
        <v>46670</v>
      </c>
      <c r="B468" t="s">
        <v>62</v>
      </c>
      <c r="C468" t="s">
        <v>561</v>
      </c>
    </row>
    <row r="469" spans="1:7">
      <c r="A469" s="12">
        <v>46671</v>
      </c>
      <c r="B469" t="s">
        <v>64</v>
      </c>
      <c r="C469" t="s">
        <v>562</v>
      </c>
      <c r="D469" t="s">
        <v>165</v>
      </c>
      <c r="E469" t="s">
        <v>104</v>
      </c>
      <c r="F469" t="s">
        <v>166</v>
      </c>
      <c r="G469" t="s">
        <v>106</v>
      </c>
    </row>
    <row r="470" spans="1:7">
      <c r="A470" s="12">
        <v>46672</v>
      </c>
      <c r="B470" t="s">
        <v>66</v>
      </c>
      <c r="C470" t="s">
        <v>563</v>
      </c>
    </row>
    <row r="471" spans="1:7">
      <c r="A471" s="12">
        <v>46673</v>
      </c>
      <c r="B471" t="s">
        <v>50</v>
      </c>
      <c r="C471" t="s">
        <v>564</v>
      </c>
    </row>
    <row r="472" spans="1:7">
      <c r="A472" s="12">
        <v>46674</v>
      </c>
      <c r="B472" t="s">
        <v>52</v>
      </c>
      <c r="C472" t="s">
        <v>565</v>
      </c>
    </row>
    <row r="473" spans="1:7">
      <c r="A473" s="12">
        <v>46675</v>
      </c>
      <c r="B473" t="s">
        <v>56</v>
      </c>
      <c r="C473" t="s">
        <v>566</v>
      </c>
      <c r="D473" t="s">
        <v>58</v>
      </c>
      <c r="E473" t="s">
        <v>107</v>
      </c>
      <c r="F473" t="s">
        <v>108</v>
      </c>
      <c r="G473" t="s">
        <v>103</v>
      </c>
    </row>
    <row r="474" spans="1:7">
      <c r="A474" s="12">
        <v>46676</v>
      </c>
      <c r="B474" t="s">
        <v>59</v>
      </c>
      <c r="C474" t="s">
        <v>567</v>
      </c>
      <c r="D474" t="s">
        <v>172</v>
      </c>
      <c r="E474" t="s">
        <v>99</v>
      </c>
      <c r="F474" t="s">
        <v>173</v>
      </c>
      <c r="G474" t="s">
        <v>103</v>
      </c>
    </row>
    <row r="475" spans="1:7">
      <c r="A475" s="12">
        <v>46677</v>
      </c>
      <c r="B475" t="s">
        <v>62</v>
      </c>
      <c r="C475" t="s">
        <v>568</v>
      </c>
      <c r="D475" t="s">
        <v>172</v>
      </c>
      <c r="E475" t="s">
        <v>99</v>
      </c>
      <c r="F475" t="s">
        <v>173</v>
      </c>
      <c r="G475" t="s">
        <v>103</v>
      </c>
    </row>
    <row r="476" spans="1:7">
      <c r="A476" s="12">
        <v>46678</v>
      </c>
      <c r="B476" t="s">
        <v>64</v>
      </c>
      <c r="C476" t="s">
        <v>569</v>
      </c>
      <c r="D476" t="s">
        <v>172</v>
      </c>
      <c r="E476" t="s">
        <v>99</v>
      </c>
      <c r="F476" t="s">
        <v>173</v>
      </c>
      <c r="G476" t="s">
        <v>103</v>
      </c>
    </row>
    <row r="477" spans="1:7">
      <c r="A477" s="12">
        <v>46679</v>
      </c>
      <c r="B477" t="s">
        <v>66</v>
      </c>
      <c r="C477" t="s">
        <v>570</v>
      </c>
      <c r="D477" t="s">
        <v>172</v>
      </c>
      <c r="E477" t="s">
        <v>99</v>
      </c>
      <c r="F477" t="s">
        <v>173</v>
      </c>
      <c r="G477" t="s">
        <v>103</v>
      </c>
    </row>
    <row r="478" spans="1:7">
      <c r="A478" s="12">
        <v>46680</v>
      </c>
      <c r="B478" t="s">
        <v>50</v>
      </c>
      <c r="C478" t="s">
        <v>571</v>
      </c>
      <c r="D478" t="s">
        <v>172</v>
      </c>
      <c r="E478" t="s">
        <v>99</v>
      </c>
      <c r="F478" t="s">
        <v>173</v>
      </c>
      <c r="G478" t="s">
        <v>103</v>
      </c>
    </row>
    <row r="479" spans="1:7">
      <c r="A479" s="12">
        <v>46681</v>
      </c>
      <c r="B479" t="s">
        <v>52</v>
      </c>
      <c r="C479" t="s">
        <v>572</v>
      </c>
      <c r="D479" t="s">
        <v>172</v>
      </c>
      <c r="E479" t="s">
        <v>99</v>
      </c>
      <c r="F479" t="s">
        <v>173</v>
      </c>
      <c r="G479" t="s">
        <v>103</v>
      </c>
    </row>
    <row r="480" spans="1:7">
      <c r="A480" s="12">
        <v>46682</v>
      </c>
      <c r="B480" t="s">
        <v>56</v>
      </c>
      <c r="C480" t="s">
        <v>573</v>
      </c>
      <c r="D480" t="s">
        <v>172</v>
      </c>
      <c r="E480" t="s">
        <v>99</v>
      </c>
      <c r="F480" t="s">
        <v>173</v>
      </c>
      <c r="G480" t="s">
        <v>103</v>
      </c>
    </row>
    <row r="481" spans="1:7">
      <c r="A481" s="12">
        <v>46683</v>
      </c>
      <c r="B481" t="s">
        <v>59</v>
      </c>
      <c r="C481" t="s">
        <v>574</v>
      </c>
      <c r="D481" t="s">
        <v>88</v>
      </c>
      <c r="E481" t="s">
        <v>107</v>
      </c>
      <c r="F481" t="s">
        <v>109</v>
      </c>
      <c r="G481" t="s">
        <v>103</v>
      </c>
    </row>
    <row r="482" spans="1:7">
      <c r="A482" s="12">
        <v>46684</v>
      </c>
      <c r="B482" t="s">
        <v>62</v>
      </c>
      <c r="C482" t="s">
        <v>575</v>
      </c>
    </row>
    <row r="483" spans="1:7">
      <c r="A483" s="12">
        <v>46685</v>
      </c>
      <c r="B483" t="s">
        <v>64</v>
      </c>
      <c r="C483" t="s">
        <v>576</v>
      </c>
    </row>
    <row r="484" spans="1:7">
      <c r="A484" s="12">
        <v>46686</v>
      </c>
      <c r="B484" t="s">
        <v>66</v>
      </c>
      <c r="C484" t="s">
        <v>577</v>
      </c>
    </row>
    <row r="485" spans="1:7">
      <c r="A485" s="12">
        <v>46687</v>
      </c>
      <c r="B485" t="s">
        <v>50</v>
      </c>
      <c r="C485" t="s">
        <v>578</v>
      </c>
    </row>
    <row r="486" spans="1:7">
      <c r="A486" s="12">
        <v>46688</v>
      </c>
      <c r="B486" t="s">
        <v>52</v>
      </c>
      <c r="C486" t="s">
        <v>579</v>
      </c>
    </row>
    <row r="487" spans="1:7">
      <c r="A487" s="12">
        <v>46689</v>
      </c>
      <c r="B487" t="s">
        <v>56</v>
      </c>
      <c r="C487" t="s">
        <v>580</v>
      </c>
      <c r="D487" t="s">
        <v>58</v>
      </c>
      <c r="E487" t="s">
        <v>107</v>
      </c>
      <c r="F487" t="s">
        <v>108</v>
      </c>
      <c r="G487" t="s">
        <v>103</v>
      </c>
    </row>
    <row r="488" spans="1:7">
      <c r="A488" s="12">
        <v>46690</v>
      </c>
      <c r="B488" t="s">
        <v>59</v>
      </c>
      <c r="C488" t="s">
        <v>581</v>
      </c>
      <c r="D488" t="s">
        <v>88</v>
      </c>
      <c r="E488" t="s">
        <v>107</v>
      </c>
      <c r="F488" t="s">
        <v>109</v>
      </c>
      <c r="G488" t="s">
        <v>103</v>
      </c>
    </row>
    <row r="489" spans="1:7">
      <c r="A489" s="12">
        <v>46691</v>
      </c>
      <c r="B489" t="s">
        <v>62</v>
      </c>
      <c r="C489" t="s">
        <v>582</v>
      </c>
    </row>
    <row r="490" spans="1:7">
      <c r="A490" s="12">
        <v>46692</v>
      </c>
      <c r="B490" t="s">
        <v>64</v>
      </c>
      <c r="C490" t="s">
        <v>583</v>
      </c>
    </row>
    <row r="491" spans="1:7">
      <c r="A491" s="12">
        <v>46693</v>
      </c>
      <c r="B491" t="s">
        <v>66</v>
      </c>
      <c r="C491" t="s">
        <v>584</v>
      </c>
    </row>
    <row r="492" spans="1:7">
      <c r="A492" s="12">
        <v>46694</v>
      </c>
      <c r="B492" t="s">
        <v>50</v>
      </c>
      <c r="C492" t="s">
        <v>585</v>
      </c>
    </row>
    <row r="493" spans="1:7">
      <c r="A493" s="12">
        <v>46695</v>
      </c>
      <c r="B493" t="s">
        <v>52</v>
      </c>
      <c r="C493" t="s">
        <v>586</v>
      </c>
    </row>
    <row r="494" spans="1:7">
      <c r="A494" s="12">
        <v>46696</v>
      </c>
      <c r="B494" t="s">
        <v>56</v>
      </c>
      <c r="C494" t="s">
        <v>587</v>
      </c>
      <c r="D494" t="s">
        <v>58</v>
      </c>
      <c r="E494" t="s">
        <v>107</v>
      </c>
      <c r="F494" t="s">
        <v>108</v>
      </c>
      <c r="G494" t="s">
        <v>103</v>
      </c>
    </row>
    <row r="495" spans="1:7">
      <c r="A495" s="12">
        <v>46697</v>
      </c>
      <c r="B495" t="s">
        <v>59</v>
      </c>
      <c r="C495" t="s">
        <v>588</v>
      </c>
      <c r="D495" t="s">
        <v>88</v>
      </c>
      <c r="E495" t="s">
        <v>107</v>
      </c>
      <c r="F495" t="s">
        <v>109</v>
      </c>
      <c r="G495" t="s">
        <v>103</v>
      </c>
    </row>
    <row r="496" spans="1:7">
      <c r="A496" s="12">
        <v>46698</v>
      </c>
      <c r="B496" t="s">
        <v>62</v>
      </c>
      <c r="C496" t="s">
        <v>589</v>
      </c>
    </row>
    <row r="497" spans="1:7">
      <c r="A497" s="12">
        <v>46699</v>
      </c>
      <c r="B497" t="s">
        <v>64</v>
      </c>
      <c r="C497" t="s">
        <v>590</v>
      </c>
    </row>
    <row r="498" spans="1:7">
      <c r="A498" s="12">
        <v>46700</v>
      </c>
      <c r="B498" t="s">
        <v>66</v>
      </c>
      <c r="C498" t="s">
        <v>591</v>
      </c>
    </row>
    <row r="499" spans="1:7">
      <c r="A499" s="12">
        <v>46701</v>
      </c>
      <c r="B499" t="s">
        <v>50</v>
      </c>
      <c r="C499" t="s">
        <v>592</v>
      </c>
    </row>
    <row r="500" spans="1:7">
      <c r="A500" s="12">
        <v>46702</v>
      </c>
      <c r="B500" t="s">
        <v>52</v>
      </c>
      <c r="C500" t="s">
        <v>593</v>
      </c>
    </row>
    <row r="501" spans="1:7">
      <c r="A501" s="12">
        <v>46703</v>
      </c>
      <c r="B501" t="s">
        <v>56</v>
      </c>
      <c r="C501" t="s">
        <v>594</v>
      </c>
      <c r="D501" t="s">
        <v>58</v>
      </c>
      <c r="E501" t="s">
        <v>107</v>
      </c>
      <c r="F501" t="s">
        <v>108</v>
      </c>
      <c r="G501" t="s">
        <v>103</v>
      </c>
    </row>
    <row r="502" spans="1:7">
      <c r="A502" s="12">
        <v>46704</v>
      </c>
      <c r="B502" t="s">
        <v>59</v>
      </c>
      <c r="C502" t="s">
        <v>595</v>
      </c>
      <c r="D502" t="s">
        <v>88</v>
      </c>
      <c r="E502" t="s">
        <v>107</v>
      </c>
      <c r="F502" t="s">
        <v>109</v>
      </c>
      <c r="G502" t="s">
        <v>103</v>
      </c>
    </row>
    <row r="503" spans="1:7">
      <c r="A503" s="12">
        <v>46705</v>
      </c>
      <c r="B503" t="s">
        <v>62</v>
      </c>
      <c r="C503" t="s">
        <v>596</v>
      </c>
    </row>
    <row r="504" spans="1:7">
      <c r="A504" s="12">
        <v>46706</v>
      </c>
      <c r="B504" t="s">
        <v>64</v>
      </c>
      <c r="C504" t="s">
        <v>597</v>
      </c>
    </row>
    <row r="505" spans="1:7">
      <c r="A505" s="12">
        <v>46707</v>
      </c>
      <c r="B505" t="s">
        <v>66</v>
      </c>
      <c r="C505" t="s">
        <v>598</v>
      </c>
    </row>
    <row r="506" spans="1:7">
      <c r="A506" s="12">
        <v>46708</v>
      </c>
      <c r="B506" t="s">
        <v>50</v>
      </c>
      <c r="C506" t="s">
        <v>599</v>
      </c>
    </row>
    <row r="507" spans="1:7">
      <c r="A507" s="12">
        <v>46709</v>
      </c>
      <c r="B507" t="s">
        <v>52</v>
      </c>
      <c r="C507" t="s">
        <v>600</v>
      </c>
    </row>
    <row r="508" spans="1:7">
      <c r="A508" s="12">
        <v>46710</v>
      </c>
      <c r="B508" t="s">
        <v>56</v>
      </c>
      <c r="C508" t="s">
        <v>601</v>
      </c>
      <c r="D508" t="s">
        <v>58</v>
      </c>
      <c r="E508" t="s">
        <v>107</v>
      </c>
      <c r="F508" t="s">
        <v>108</v>
      </c>
      <c r="G508" t="s">
        <v>103</v>
      </c>
    </row>
    <row r="509" spans="1:7">
      <c r="A509" s="12">
        <v>46711</v>
      </c>
      <c r="B509" t="s">
        <v>59</v>
      </c>
      <c r="C509" t="s">
        <v>602</v>
      </c>
      <c r="D509" t="s">
        <v>88</v>
      </c>
      <c r="E509" t="s">
        <v>107</v>
      </c>
      <c r="F509" t="s">
        <v>109</v>
      </c>
      <c r="G509" t="s">
        <v>103</v>
      </c>
    </row>
    <row r="510" spans="1:7">
      <c r="A510" s="12">
        <v>46712</v>
      </c>
      <c r="B510" t="s">
        <v>62</v>
      </c>
      <c r="C510" t="s">
        <v>603</v>
      </c>
    </row>
    <row r="511" spans="1:7">
      <c r="A511" s="12">
        <v>46713</v>
      </c>
      <c r="B511" t="s">
        <v>64</v>
      </c>
      <c r="C511" t="s">
        <v>604</v>
      </c>
    </row>
    <row r="512" spans="1:7">
      <c r="A512" s="12">
        <v>46714</v>
      </c>
      <c r="B512" t="s">
        <v>66</v>
      </c>
      <c r="C512" t="s">
        <v>605</v>
      </c>
    </row>
    <row r="513" spans="1:7">
      <c r="A513" s="12">
        <v>46715</v>
      </c>
      <c r="B513" t="s">
        <v>50</v>
      </c>
      <c r="C513" t="s">
        <v>606</v>
      </c>
    </row>
    <row r="514" spans="1:7">
      <c r="A514" s="12">
        <v>46716</v>
      </c>
      <c r="B514" t="s">
        <v>52</v>
      </c>
      <c r="C514" t="s">
        <v>607</v>
      </c>
    </row>
    <row r="515" spans="1:7">
      <c r="A515" s="12">
        <v>46717</v>
      </c>
      <c r="B515" t="s">
        <v>56</v>
      </c>
      <c r="C515" t="s">
        <v>608</v>
      </c>
      <c r="D515" t="s">
        <v>58</v>
      </c>
      <c r="E515" t="s">
        <v>107</v>
      </c>
      <c r="F515" t="s">
        <v>108</v>
      </c>
      <c r="G515" t="s">
        <v>103</v>
      </c>
    </row>
    <row r="516" spans="1:7">
      <c r="A516" s="12">
        <v>46718</v>
      </c>
      <c r="B516" t="s">
        <v>59</v>
      </c>
      <c r="C516" t="s">
        <v>609</v>
      </c>
      <c r="D516" t="s">
        <v>88</v>
      </c>
      <c r="E516" t="s">
        <v>107</v>
      </c>
      <c r="F516" t="s">
        <v>109</v>
      </c>
      <c r="G516" t="s">
        <v>103</v>
      </c>
    </row>
    <row r="517" spans="1:7">
      <c r="A517" s="12">
        <v>46719</v>
      </c>
      <c r="B517" t="s">
        <v>62</v>
      </c>
      <c r="C517" t="s">
        <v>610</v>
      </c>
    </row>
    <row r="518" spans="1:7">
      <c r="A518" s="12">
        <v>46720</v>
      </c>
      <c r="B518" t="s">
        <v>64</v>
      </c>
      <c r="C518" t="s">
        <v>611</v>
      </c>
    </row>
    <row r="519" spans="1:7">
      <c r="A519" s="12">
        <v>46721</v>
      </c>
      <c r="B519" t="s">
        <v>66</v>
      </c>
      <c r="C519" t="s">
        <v>612</v>
      </c>
    </row>
    <row r="520" spans="1:7">
      <c r="A520" s="12">
        <v>46722</v>
      </c>
      <c r="B520" t="s">
        <v>50</v>
      </c>
      <c r="C520" t="s">
        <v>613</v>
      </c>
    </row>
    <row r="521" spans="1:7">
      <c r="A521" s="12">
        <v>46723</v>
      </c>
      <c r="B521" t="s">
        <v>52</v>
      </c>
      <c r="C521" t="s">
        <v>614</v>
      </c>
    </row>
    <row r="522" spans="1:7">
      <c r="A522" s="12">
        <v>46724</v>
      </c>
      <c r="B522" t="s">
        <v>56</v>
      </c>
      <c r="C522" t="s">
        <v>615</v>
      </c>
      <c r="D522" t="s">
        <v>58</v>
      </c>
      <c r="E522" t="s">
        <v>107</v>
      </c>
      <c r="F522" t="s">
        <v>108</v>
      </c>
      <c r="G522" t="s">
        <v>103</v>
      </c>
    </row>
    <row r="523" spans="1:7">
      <c r="A523" s="12">
        <v>46725</v>
      </c>
      <c r="B523" t="s">
        <v>59</v>
      </c>
      <c r="C523" t="s">
        <v>616</v>
      </c>
      <c r="D523" t="s">
        <v>88</v>
      </c>
      <c r="E523" t="s">
        <v>107</v>
      </c>
      <c r="F523" t="s">
        <v>109</v>
      </c>
      <c r="G523" t="s">
        <v>103</v>
      </c>
    </row>
    <row r="524" spans="1:7">
      <c r="A524" s="12">
        <v>46726</v>
      </c>
      <c r="B524" t="s">
        <v>62</v>
      </c>
      <c r="C524" t="s">
        <v>617</v>
      </c>
    </row>
    <row r="525" spans="1:7">
      <c r="A525" s="12">
        <v>46727</v>
      </c>
      <c r="B525" t="s">
        <v>64</v>
      </c>
      <c r="C525" t="s">
        <v>618</v>
      </c>
    </row>
    <row r="526" spans="1:7">
      <c r="A526" s="12">
        <v>46728</v>
      </c>
      <c r="B526" t="s">
        <v>66</v>
      </c>
      <c r="C526" t="s">
        <v>619</v>
      </c>
    </row>
    <row r="527" spans="1:7">
      <c r="A527" s="12">
        <v>46729</v>
      </c>
      <c r="B527" t="s">
        <v>50</v>
      </c>
      <c r="C527" t="s">
        <v>620</v>
      </c>
    </row>
    <row r="528" spans="1:7">
      <c r="A528" s="12">
        <v>46730</v>
      </c>
      <c r="B528" t="s">
        <v>52</v>
      </c>
      <c r="C528" t="s">
        <v>621</v>
      </c>
    </row>
    <row r="529" spans="1:7">
      <c r="A529" s="12">
        <v>46731</v>
      </c>
      <c r="B529" t="s">
        <v>56</v>
      </c>
      <c r="C529" t="s">
        <v>622</v>
      </c>
      <c r="D529" t="s">
        <v>58</v>
      </c>
      <c r="E529" t="s">
        <v>107</v>
      </c>
      <c r="F529" t="s">
        <v>108</v>
      </c>
      <c r="G529" t="s">
        <v>103</v>
      </c>
    </row>
    <row r="530" spans="1:7">
      <c r="A530" s="12">
        <v>46732</v>
      </c>
      <c r="B530" t="s">
        <v>59</v>
      </c>
      <c r="C530" t="s">
        <v>623</v>
      </c>
      <c r="D530" t="s">
        <v>88</v>
      </c>
      <c r="E530" t="s">
        <v>107</v>
      </c>
      <c r="F530" t="s">
        <v>109</v>
      </c>
      <c r="G530" t="s">
        <v>103</v>
      </c>
    </row>
    <row r="531" spans="1:7">
      <c r="A531" s="12">
        <v>46733</v>
      </c>
      <c r="B531" t="s">
        <v>62</v>
      </c>
      <c r="C531" t="s">
        <v>624</v>
      </c>
    </row>
    <row r="532" spans="1:7">
      <c r="A532" s="12">
        <v>46734</v>
      </c>
      <c r="B532" t="s">
        <v>64</v>
      </c>
      <c r="C532" t="s">
        <v>625</v>
      </c>
    </row>
    <row r="533" spans="1:7">
      <c r="A533" s="12">
        <v>46735</v>
      </c>
      <c r="B533" t="s">
        <v>66</v>
      </c>
      <c r="C533" t="s">
        <v>626</v>
      </c>
    </row>
    <row r="534" spans="1:7">
      <c r="A534" s="12">
        <v>46736</v>
      </c>
      <c r="B534" t="s">
        <v>50</v>
      </c>
      <c r="C534" t="s">
        <v>627</v>
      </c>
    </row>
    <row r="535" spans="1:7">
      <c r="A535" s="12">
        <v>46737</v>
      </c>
      <c r="B535" t="s">
        <v>52</v>
      </c>
      <c r="C535" t="s">
        <v>628</v>
      </c>
    </row>
    <row r="536" spans="1:7">
      <c r="A536" s="12">
        <v>46738</v>
      </c>
      <c r="B536" t="s">
        <v>56</v>
      </c>
      <c r="C536" t="s">
        <v>629</v>
      </c>
      <c r="D536" t="s">
        <v>58</v>
      </c>
      <c r="E536" t="s">
        <v>107</v>
      </c>
      <c r="F536" t="s">
        <v>108</v>
      </c>
      <c r="G536" t="s">
        <v>103</v>
      </c>
    </row>
    <row r="537" spans="1:7">
      <c r="A537" s="12">
        <v>46739</v>
      </c>
      <c r="B537" t="s">
        <v>59</v>
      </c>
      <c r="C537" t="s">
        <v>630</v>
      </c>
      <c r="D537" t="s">
        <v>88</v>
      </c>
      <c r="E537" t="s">
        <v>107</v>
      </c>
      <c r="F537" t="s">
        <v>109</v>
      </c>
      <c r="G537" t="s">
        <v>103</v>
      </c>
    </row>
    <row r="538" spans="1:7">
      <c r="A538" s="12">
        <v>46740</v>
      </c>
      <c r="B538" t="s">
        <v>62</v>
      </c>
      <c r="C538" t="s">
        <v>631</v>
      </c>
    </row>
    <row r="539" spans="1:7">
      <c r="A539" s="12">
        <v>46741</v>
      </c>
      <c r="B539" t="s">
        <v>64</v>
      </c>
      <c r="C539" t="s">
        <v>632</v>
      </c>
    </row>
    <row r="540" spans="1:7">
      <c r="A540" s="12">
        <v>46742</v>
      </c>
      <c r="B540" t="s">
        <v>66</v>
      </c>
      <c r="C540" t="s">
        <v>633</v>
      </c>
    </row>
    <row r="541" spans="1:7">
      <c r="A541" s="12">
        <v>46743</v>
      </c>
      <c r="B541" t="s">
        <v>50</v>
      </c>
      <c r="C541" t="s">
        <v>634</v>
      </c>
    </row>
    <row r="542" spans="1:7">
      <c r="A542" s="12">
        <v>46744</v>
      </c>
      <c r="B542" t="s">
        <v>52</v>
      </c>
      <c r="C542" t="s">
        <v>635</v>
      </c>
    </row>
    <row r="543" spans="1:7">
      <c r="A543" s="12">
        <v>46745</v>
      </c>
      <c r="B543" t="s">
        <v>56</v>
      </c>
      <c r="C543" t="s">
        <v>636</v>
      </c>
      <c r="D543" t="s">
        <v>58</v>
      </c>
      <c r="E543" t="s">
        <v>107</v>
      </c>
      <c r="F543" t="s">
        <v>108</v>
      </c>
      <c r="G543" t="s">
        <v>103</v>
      </c>
    </row>
    <row r="544" spans="1:7">
      <c r="A544" s="12">
        <v>46746</v>
      </c>
      <c r="B544" t="s">
        <v>59</v>
      </c>
      <c r="C544" t="s">
        <v>637</v>
      </c>
      <c r="D544" t="s">
        <v>244</v>
      </c>
      <c r="E544" t="s">
        <v>99</v>
      </c>
      <c r="F544" t="s">
        <v>245</v>
      </c>
      <c r="G544" t="s">
        <v>101</v>
      </c>
    </row>
    <row r="545" spans="1:7">
      <c r="A545" s="12">
        <v>46747</v>
      </c>
      <c r="B545" t="s">
        <v>62</v>
      </c>
      <c r="C545" t="s">
        <v>638</v>
      </c>
      <c r="D545" t="s">
        <v>244</v>
      </c>
      <c r="E545" t="s">
        <v>99</v>
      </c>
      <c r="F545" t="s">
        <v>245</v>
      </c>
      <c r="G545" t="s">
        <v>101</v>
      </c>
    </row>
    <row r="546" spans="1:7">
      <c r="A546" s="12">
        <v>46748</v>
      </c>
      <c r="B546" t="s">
        <v>64</v>
      </c>
      <c r="C546" t="s">
        <v>639</v>
      </c>
      <c r="D546" t="s">
        <v>244</v>
      </c>
      <c r="E546" t="s">
        <v>99</v>
      </c>
      <c r="F546" t="s">
        <v>245</v>
      </c>
      <c r="G546" t="s">
        <v>101</v>
      </c>
    </row>
    <row r="547" spans="1:7">
      <c r="A547" s="12">
        <v>46749</v>
      </c>
      <c r="B547" t="s">
        <v>66</v>
      </c>
      <c r="C547" t="s">
        <v>640</v>
      </c>
      <c r="D547" t="s">
        <v>244</v>
      </c>
      <c r="E547" t="s">
        <v>99</v>
      </c>
      <c r="F547" t="s">
        <v>245</v>
      </c>
      <c r="G547" t="s">
        <v>101</v>
      </c>
    </row>
    <row r="548" spans="1:7">
      <c r="A548" s="12">
        <v>46750</v>
      </c>
      <c r="B548" t="s">
        <v>50</v>
      </c>
      <c r="C548" t="s">
        <v>641</v>
      </c>
      <c r="D548" t="s">
        <v>244</v>
      </c>
      <c r="E548" t="s">
        <v>99</v>
      </c>
      <c r="F548" t="s">
        <v>245</v>
      </c>
      <c r="G548" t="s">
        <v>101</v>
      </c>
    </row>
    <row r="549" spans="1:7">
      <c r="A549" s="12">
        <v>46751</v>
      </c>
      <c r="B549" t="s">
        <v>52</v>
      </c>
      <c r="C549" t="s">
        <v>642</v>
      </c>
      <c r="D549" t="s">
        <v>244</v>
      </c>
      <c r="E549" t="s">
        <v>99</v>
      </c>
      <c r="F549" t="s">
        <v>245</v>
      </c>
      <c r="G549" t="s">
        <v>101</v>
      </c>
    </row>
    <row r="550" spans="1:7">
      <c r="A550" s="12">
        <v>46752</v>
      </c>
      <c r="B550" t="s">
        <v>56</v>
      </c>
      <c r="C550" t="s">
        <v>643</v>
      </c>
      <c r="D550" t="s">
        <v>244</v>
      </c>
      <c r="E550" t="s">
        <v>99</v>
      </c>
      <c r="F550" t="s">
        <v>245</v>
      </c>
      <c r="G550" t="s">
        <v>101</v>
      </c>
    </row>
  </sheetData>
  <dataValidations count="1">
    <dataValidation type="list" sqref="H2:H700" xr:uid="{00000000-0002-0000-0200-000000000000}">
      <formula1>",בוצע,לא בוצע,בתהליך"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rightToLeft="1" workbookViewId="0"/>
  </sheetViews>
  <sheetFormatPr defaultRowHeight="14.25"/>
  <cols>
    <col min="1" max="5" width="22" customWidth="1"/>
    <col min="6" max="6" width="32" customWidth="1"/>
  </cols>
  <sheetData>
    <row r="1" spans="1:6" ht="15">
      <c r="A1" s="8" t="s">
        <v>14</v>
      </c>
      <c r="B1" s="8" t="s">
        <v>644</v>
      </c>
      <c r="C1" s="8" t="s">
        <v>16</v>
      </c>
      <c r="D1" s="8" t="s">
        <v>645</v>
      </c>
      <c r="E1" s="8" t="s">
        <v>18</v>
      </c>
      <c r="F1" s="8" t="s">
        <v>49</v>
      </c>
    </row>
    <row r="2" spans="1:6">
      <c r="A2" t="s">
        <v>646</v>
      </c>
      <c r="B2" t="s">
        <v>647</v>
      </c>
      <c r="C2" t="s">
        <v>101</v>
      </c>
      <c r="E2" t="s">
        <v>648</v>
      </c>
    </row>
    <row r="3" spans="1:6">
      <c r="A3" t="s">
        <v>649</v>
      </c>
      <c r="B3" t="s">
        <v>650</v>
      </c>
      <c r="C3" t="s">
        <v>101</v>
      </c>
      <c r="E3" t="s">
        <v>648</v>
      </c>
    </row>
    <row r="4" spans="1:6">
      <c r="A4" t="s">
        <v>651</v>
      </c>
      <c r="B4" t="s">
        <v>647</v>
      </c>
      <c r="C4" t="s">
        <v>106</v>
      </c>
      <c r="E4" t="s">
        <v>648</v>
      </c>
    </row>
    <row r="5" spans="1:6">
      <c r="A5" t="s">
        <v>652</v>
      </c>
      <c r="B5" t="s">
        <v>653</v>
      </c>
      <c r="C5" t="s">
        <v>101</v>
      </c>
      <c r="E5" t="s">
        <v>648</v>
      </c>
    </row>
    <row r="6" spans="1:6">
      <c r="A6" t="s">
        <v>654</v>
      </c>
      <c r="B6" t="s">
        <v>655</v>
      </c>
      <c r="C6" t="s">
        <v>103</v>
      </c>
      <c r="E6" t="s">
        <v>648</v>
      </c>
    </row>
    <row r="7" spans="1:6">
      <c r="A7" t="s">
        <v>656</v>
      </c>
      <c r="B7" t="s">
        <v>657</v>
      </c>
      <c r="C7" t="s">
        <v>103</v>
      </c>
      <c r="E7" t="s">
        <v>648</v>
      </c>
    </row>
    <row r="8" spans="1:6">
      <c r="A8" t="s">
        <v>658</v>
      </c>
      <c r="B8" t="s">
        <v>647</v>
      </c>
      <c r="C8" t="s">
        <v>101</v>
      </c>
      <c r="E8" t="s">
        <v>659</v>
      </c>
    </row>
    <row r="9" spans="1:6">
      <c r="A9" t="s">
        <v>660</v>
      </c>
      <c r="B9" t="s">
        <v>647</v>
      </c>
      <c r="C9" t="s">
        <v>103</v>
      </c>
      <c r="E9" t="s">
        <v>648</v>
      </c>
    </row>
  </sheetData>
  <dataValidations count="1">
    <dataValidation type="list" sqref="E2:E100" xr:uid="{00000000-0002-0000-0300-000000000000}">
      <formula1>"מתוכנן,בתהליך,בוצע,תקוע"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1"/>
  <sheetViews>
    <sheetView rightToLeft="1" workbookViewId="0"/>
  </sheetViews>
  <sheetFormatPr defaultRowHeight="14.25"/>
  <cols>
    <col min="1" max="1" width="17" customWidth="1"/>
    <col min="2" max="2" width="28" customWidth="1"/>
    <col min="3" max="13" width="17" customWidth="1"/>
    <col min="14" max="14" width="32" customWidth="1"/>
  </cols>
  <sheetData>
    <row r="1" spans="1:14" ht="15">
      <c r="A1" s="1" t="s">
        <v>661</v>
      </c>
      <c r="B1" s="1" t="s">
        <v>662</v>
      </c>
      <c r="C1" s="1" t="s">
        <v>663</v>
      </c>
      <c r="D1" s="1" t="s">
        <v>664</v>
      </c>
      <c r="E1" s="1" t="s">
        <v>665</v>
      </c>
      <c r="F1" s="1" t="s">
        <v>666</v>
      </c>
      <c r="G1" s="1" t="s">
        <v>667</v>
      </c>
      <c r="H1" s="1" t="s">
        <v>668</v>
      </c>
      <c r="I1" s="1" t="s">
        <v>669</v>
      </c>
      <c r="J1" s="1" t="s">
        <v>670</v>
      </c>
      <c r="K1" s="1" t="s">
        <v>671</v>
      </c>
      <c r="L1" s="1" t="s">
        <v>672</v>
      </c>
      <c r="M1" s="1" t="s">
        <v>673</v>
      </c>
      <c r="N1" s="1" t="s">
        <v>49</v>
      </c>
    </row>
    <row r="2" spans="1:14">
      <c r="A2">
        <v>1</v>
      </c>
    </row>
    <row r="3" spans="1:14">
      <c r="A3">
        <v>2</v>
      </c>
    </row>
    <row r="4" spans="1:14">
      <c r="A4">
        <v>3</v>
      </c>
    </row>
    <row r="5" spans="1:14">
      <c r="A5">
        <v>4</v>
      </c>
    </row>
    <row r="6" spans="1:14">
      <c r="A6">
        <v>5</v>
      </c>
    </row>
    <row r="7" spans="1:14">
      <c r="A7">
        <v>6</v>
      </c>
    </row>
    <row r="8" spans="1:14">
      <c r="A8">
        <v>7</v>
      </c>
    </row>
    <row r="9" spans="1:14">
      <c r="A9">
        <v>8</v>
      </c>
    </row>
    <row r="10" spans="1:14">
      <c r="A10">
        <v>9</v>
      </c>
    </row>
    <row r="11" spans="1:14">
      <c r="A11">
        <v>10</v>
      </c>
    </row>
    <row r="12" spans="1:14">
      <c r="A12">
        <v>11</v>
      </c>
    </row>
    <row r="13" spans="1:14">
      <c r="A13">
        <v>12</v>
      </c>
    </row>
    <row r="14" spans="1:14">
      <c r="A14">
        <v>13</v>
      </c>
    </row>
    <row r="15" spans="1:14">
      <c r="A15">
        <v>14</v>
      </c>
    </row>
    <row r="16" spans="1:14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</sheetData>
  <dataValidations count="1">
    <dataValidation type="list" sqref="K2:K101" xr:uid="{00000000-0002-0000-0400-000000000000}">
      <formula1>"1-אותר,2-טעימה נשלחה,3-שיחת מעקב,4-הזמנה ראשונה,5-לקוח קבוע"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rightToLeft="1" workbookViewId="0"/>
  </sheetViews>
  <sheetFormatPr defaultRowHeight="14.25"/>
  <cols>
    <col min="1" max="2" width="26" customWidth="1"/>
  </cols>
  <sheetData>
    <row r="1" spans="1:2" ht="15">
      <c r="A1" s="8" t="s">
        <v>674</v>
      </c>
      <c r="B1" s="8" t="s">
        <v>675</v>
      </c>
    </row>
    <row r="2" spans="1:2">
      <c r="A2" t="s">
        <v>23</v>
      </c>
      <c r="B2" s="9">
        <v>100000</v>
      </c>
    </row>
    <row r="3" spans="1:2">
      <c r="A3" t="s">
        <v>25</v>
      </c>
      <c r="B3" s="9">
        <v>7000</v>
      </c>
    </row>
    <row r="4" spans="1:2">
      <c r="A4" t="s">
        <v>676</v>
      </c>
      <c r="B4" s="9"/>
    </row>
    <row r="5" spans="1:2">
      <c r="A5" t="s">
        <v>677</v>
      </c>
      <c r="B5" s="9"/>
    </row>
    <row r="6" spans="1:2">
      <c r="B6" s="9"/>
    </row>
    <row r="7" spans="1:2">
      <c r="A7" t="s">
        <v>678</v>
      </c>
      <c r="B7" s="9">
        <f>SUM('יומן עסקי'!K2:K32)</f>
        <v>0</v>
      </c>
    </row>
    <row r="8" spans="1:2">
      <c r="A8" t="s">
        <v>679</v>
      </c>
      <c r="B8" s="9">
        <f>SUM('יומן עסקי'!R2:R32)</f>
        <v>0</v>
      </c>
    </row>
    <row r="9" spans="1:2">
      <c r="A9" t="s">
        <v>680</v>
      </c>
      <c r="B9" s="9">
        <f>SUM('יומן עסקי'!S2:S32)</f>
        <v>0</v>
      </c>
    </row>
    <row r="10" spans="1:2">
      <c r="A10" t="s">
        <v>39</v>
      </c>
      <c r="B10" s="9">
        <f>SUM('יומן עסקי'!Q2:Q32)</f>
        <v>0</v>
      </c>
    </row>
    <row r="11" spans="1:2">
      <c r="A11" t="s">
        <v>37</v>
      </c>
      <c r="B11" s="9">
        <f>SUM('יומן עסקי'!P2:P32)</f>
        <v>0</v>
      </c>
    </row>
    <row r="12" spans="1:2">
      <c r="A12" t="s">
        <v>681</v>
      </c>
      <c r="B12" s="9">
        <f>SUM('יומן עסקי'!E2:E32)</f>
        <v>21381.699999999997</v>
      </c>
    </row>
    <row r="13" spans="1:2">
      <c r="A13" t="s">
        <v>682</v>
      </c>
      <c r="B13" s="9">
        <f>B11-B12</f>
        <v>-21381.699999999997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rightToLeft="1" workbookViewId="0">
      <selection sqref="A1:A1048576"/>
    </sheetView>
  </sheetViews>
  <sheetFormatPr defaultRowHeight="14.25"/>
  <cols>
    <col min="1" max="1" width="15" style="12" customWidth="1"/>
    <col min="2" max="2" width="15" customWidth="1"/>
  </cols>
  <sheetData>
    <row r="1" spans="1:2" ht="15">
      <c r="A1" s="10" t="s">
        <v>683</v>
      </c>
      <c r="B1" s="11" t="s">
        <v>47</v>
      </c>
    </row>
    <row r="2" spans="1:2">
      <c r="A2" s="12">
        <f>'יומן עסקי'!A2</f>
        <v>46204</v>
      </c>
      <c r="B2">
        <f>IF('יומן עסקי'!E2="",NA(),'יומן עסקי'!E2)</f>
        <v>10627.08</v>
      </c>
    </row>
    <row r="3" spans="1:2">
      <c r="A3" s="12">
        <f>'יומן עסקי'!A3</f>
        <v>46205</v>
      </c>
      <c r="B3">
        <f>IF('יומן עסקי'!E3="",NA(),'יומן עסקי'!E3)</f>
        <v>7628.72</v>
      </c>
    </row>
    <row r="4" spans="1:2">
      <c r="A4" s="12">
        <f>'יומן עסקי'!A4</f>
        <v>46206</v>
      </c>
      <c r="B4">
        <f>IF('יומן עסקי'!E4="",NA(),'יומן עסקי'!E4)</f>
        <v>1600.1</v>
      </c>
    </row>
    <row r="5" spans="1:2">
      <c r="A5" s="12">
        <f>'יומן עסקי'!A5</f>
        <v>46207</v>
      </c>
      <c r="B5">
        <f>IF('יומן עסקי'!E5="",NA(),'יומן עסקי'!E5)</f>
        <v>1525.8</v>
      </c>
    </row>
    <row r="6" spans="1:2">
      <c r="A6" s="12">
        <f>'יומן עסקי'!A6</f>
        <v>46208</v>
      </c>
      <c r="B6" t="e">
        <f>IF('יומן עסקי'!E6="",NA(),'יומן עסקי'!E6)</f>
        <v>#N/A</v>
      </c>
    </row>
    <row r="7" spans="1:2">
      <c r="A7" s="12">
        <f>'יומן עסקי'!A7</f>
        <v>46209</v>
      </c>
      <c r="B7" t="e">
        <f>IF('יומן עסקי'!E7="",NA(),'יומן עסקי'!E7)</f>
        <v>#N/A</v>
      </c>
    </row>
    <row r="8" spans="1:2">
      <c r="A8" s="12">
        <f>'יומן עסקי'!A8</f>
        <v>46210</v>
      </c>
      <c r="B8" t="e">
        <f>IF('יומן עסקי'!E8="",NA(),'יומן עסקי'!E8)</f>
        <v>#N/A</v>
      </c>
    </row>
    <row r="9" spans="1:2">
      <c r="A9" s="12">
        <f>'יומן עסקי'!A9</f>
        <v>46211</v>
      </c>
      <c r="B9" t="e">
        <f>IF('יומן עסקי'!E9="",NA(),'יומן עסקי'!E9)</f>
        <v>#N/A</v>
      </c>
    </row>
    <row r="10" spans="1:2">
      <c r="A10" s="12">
        <f>'יומן עסקי'!A10</f>
        <v>46212</v>
      </c>
      <c r="B10" t="e">
        <f>IF('יומן עסקי'!E10="",NA(),'יומן עסקי'!E10)</f>
        <v>#N/A</v>
      </c>
    </row>
    <row r="11" spans="1:2">
      <c r="A11" s="12">
        <f>'יומן עסקי'!A11</f>
        <v>46213</v>
      </c>
      <c r="B11" t="e">
        <f>IF('יומן עסקי'!E11="",NA(),'יומן עסקי'!E11)</f>
        <v>#N/A</v>
      </c>
    </row>
    <row r="12" spans="1:2">
      <c r="A12" s="12">
        <f>'יומן עסקי'!A12</f>
        <v>46214</v>
      </c>
      <c r="B12" t="e">
        <f>IF('יומן עסקי'!E12="",NA(),'יומן עסקי'!E12)</f>
        <v>#N/A</v>
      </c>
    </row>
    <row r="13" spans="1:2">
      <c r="A13" s="12">
        <f>'יומן עסקי'!A13</f>
        <v>46215</v>
      </c>
      <c r="B13" t="e">
        <f>IF('יומן עסקי'!E13="",NA(),'יומן עסקי'!E13)</f>
        <v>#N/A</v>
      </c>
    </row>
    <row r="14" spans="1:2">
      <c r="A14" s="12">
        <f>'יומן עסקי'!A14</f>
        <v>46216</v>
      </c>
      <c r="B14" t="e">
        <f>IF('יומן עסקי'!E14="",NA(),'יומן עסקי'!E14)</f>
        <v>#N/A</v>
      </c>
    </row>
    <row r="15" spans="1:2">
      <c r="A15" s="12">
        <f>'יומן עסקי'!A15</f>
        <v>46217</v>
      </c>
      <c r="B15" t="e">
        <f>IF('יומן עסקי'!E15="",NA(),'יומן עסקי'!E15)</f>
        <v>#N/A</v>
      </c>
    </row>
    <row r="16" spans="1:2">
      <c r="A16" s="12">
        <f>'יומן עסקי'!A16</f>
        <v>46218</v>
      </c>
      <c r="B16" t="e">
        <f>IF('יומן עסקי'!E16="",NA(),'יומן עסקי'!E16)</f>
        <v>#N/A</v>
      </c>
    </row>
    <row r="17" spans="1:2">
      <c r="A17" s="12">
        <f>'יומן עסקי'!A17</f>
        <v>46219</v>
      </c>
      <c r="B17" t="e">
        <f>IF('יומן עסקי'!E17="",NA(),'יומן עסקי'!E17)</f>
        <v>#N/A</v>
      </c>
    </row>
    <row r="18" spans="1:2">
      <c r="A18" s="12">
        <f>'יומן עסקי'!A18</f>
        <v>46220</v>
      </c>
      <c r="B18" t="e">
        <f>IF('יומן עסקי'!E18="",NA(),'יומן עסקי'!E18)</f>
        <v>#N/A</v>
      </c>
    </row>
    <row r="19" spans="1:2">
      <c r="A19" s="12">
        <f>'יומן עסקי'!A19</f>
        <v>46221</v>
      </c>
      <c r="B19" t="e">
        <f>IF('יומן עסקי'!E19="",NA(),'יומן עסקי'!E19)</f>
        <v>#N/A</v>
      </c>
    </row>
    <row r="20" spans="1:2">
      <c r="A20" s="12">
        <f>'יומן עסקי'!A20</f>
        <v>46222</v>
      </c>
      <c r="B20" t="e">
        <f>IF('יומן עסקי'!E20="",NA(),'יומן עסקי'!E20)</f>
        <v>#N/A</v>
      </c>
    </row>
    <row r="21" spans="1:2">
      <c r="A21" s="12">
        <f>'יומן עסקי'!A21</f>
        <v>46223</v>
      </c>
      <c r="B21" t="e">
        <f>IF('יומן עסקי'!E21="",NA(),'יומן עסקי'!E21)</f>
        <v>#N/A</v>
      </c>
    </row>
    <row r="22" spans="1:2">
      <c r="A22" s="12">
        <f>'יומן עסקי'!A22</f>
        <v>46224</v>
      </c>
      <c r="B22" t="e">
        <f>IF('יומן עסקי'!E22="",NA(),'יומן עסקי'!E22)</f>
        <v>#N/A</v>
      </c>
    </row>
    <row r="23" spans="1:2">
      <c r="A23" s="12">
        <f>'יומן עסקי'!A23</f>
        <v>46225</v>
      </c>
      <c r="B23" t="e">
        <f>IF('יומן עסקי'!E23="",NA(),'יומן עסקי'!E23)</f>
        <v>#N/A</v>
      </c>
    </row>
    <row r="24" spans="1:2">
      <c r="A24" s="12">
        <f>'יומן עסקי'!A24</f>
        <v>46226</v>
      </c>
      <c r="B24" t="e">
        <f>IF('יומן עסקי'!E24="",NA(),'יומן עסקי'!E24)</f>
        <v>#N/A</v>
      </c>
    </row>
    <row r="25" spans="1:2">
      <c r="A25" s="12">
        <f>'יומן עסקי'!A25</f>
        <v>46227</v>
      </c>
      <c r="B25" t="e">
        <f>IF('יומן עסקי'!E25="",NA(),'יומן עסקי'!E25)</f>
        <v>#N/A</v>
      </c>
    </row>
    <row r="26" spans="1:2">
      <c r="A26" s="12">
        <f>'יומן עסקי'!A26</f>
        <v>46228</v>
      </c>
      <c r="B26" t="e">
        <f>IF('יומן עסקי'!E26="",NA(),'יומן עסקי'!E26)</f>
        <v>#N/A</v>
      </c>
    </row>
    <row r="27" spans="1:2">
      <c r="A27" s="12">
        <f>'יומן עסקי'!A27</f>
        <v>46229</v>
      </c>
      <c r="B27" t="e">
        <f>IF('יומן עסקי'!E27="",NA(),'יומן עסקי'!E27)</f>
        <v>#N/A</v>
      </c>
    </row>
    <row r="28" spans="1:2">
      <c r="A28" s="12">
        <f>'יומן עסקי'!A28</f>
        <v>46230</v>
      </c>
      <c r="B28" t="e">
        <f>IF('יומן עסקי'!E28="",NA(),'יומן עסקי'!E28)</f>
        <v>#N/A</v>
      </c>
    </row>
    <row r="29" spans="1:2">
      <c r="A29" s="12">
        <f>'יומן עסקי'!A29</f>
        <v>46231</v>
      </c>
      <c r="B29" t="e">
        <f>IF('יומן עסקי'!E29="",NA(),'יומן עסקי'!E29)</f>
        <v>#N/A</v>
      </c>
    </row>
    <row r="30" spans="1:2">
      <c r="A30" s="12">
        <f>'יומן עסקי'!A30</f>
        <v>46232</v>
      </c>
      <c r="B30" t="e">
        <f>IF('יומן עסקי'!E30="",NA(),'יומן עסקי'!E30)</f>
        <v>#N/A</v>
      </c>
    </row>
    <row r="31" spans="1:2">
      <c r="A31" s="12">
        <f>'יומן עסקי'!A31</f>
        <v>46233</v>
      </c>
      <c r="B31" t="e">
        <f>IF('יומן עסקי'!E31="",NA(),'יומן עסקי'!E31)</f>
        <v>#N/A</v>
      </c>
    </row>
    <row r="32" spans="1:2">
      <c r="A32" s="12">
        <f>'יומן עסקי'!A32</f>
        <v>46234</v>
      </c>
      <c r="B32" t="e">
        <f>IF('יומן עסקי'!E32="",NA(),'יומן עסקי'!E32)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Dashboard</vt:lpstr>
      <vt:lpstr>יומן עסקי</vt:lpstr>
      <vt:lpstr>לוח שנה עסקי</vt:lpstr>
      <vt:lpstr>משימות</vt:lpstr>
      <vt:lpstr>לקוחות פוטנציאליים</vt:lpstr>
      <vt:lpstr>תזרים</vt:lpstr>
      <vt:lpstr>גרפים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מרדכי מלכה</cp:lastModifiedBy>
  <dcterms:modified xsi:type="dcterms:W3CDTF">2026-07-05T16:45:08Z</dcterms:modified>
</cp:coreProperties>
</file>